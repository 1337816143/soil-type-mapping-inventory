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基础要求" sheetId="1" r:id="rId1"/>
    <sheet name="成果目录结构" sheetId="3" r:id="rId2"/>
    <sheet name="数据库结构" sheetId="2" r:id="rId3"/>
    <sheet name="县所属二级农业区" sheetId="4" r:id="rId4"/>
    <sheet name="平差面积" sheetId="5" r:id="rId5"/>
    <sheet name="评价指标体系" sheetId="7" r:id="rId6"/>
    <sheet name="问题说明清单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07EFA6B7C8446E0B83C0169A3CAD26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38900" y="323850"/>
          <a:ext cx="1838325" cy="201930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kiwili</author>
  </authors>
  <commentList>
    <comment ref="G80" authorId="0">
      <text>
        <r>
          <rPr>
            <b/>
            <sz val="9"/>
            <rFont val="宋体"/>
            <charset val="134"/>
          </rPr>
          <t>kiwili:</t>
        </r>
        <r>
          <rPr>
            <sz val="9"/>
            <rFont val="宋体"/>
            <charset val="134"/>
          </rPr>
          <t xml:space="preserve">
删除1，整型不需要加小数位数</t>
        </r>
      </text>
    </comment>
  </commentList>
</comments>
</file>

<file path=xl/sharedStrings.xml><?xml version="1.0" encoding="utf-8"?>
<sst xmlns="http://schemas.openxmlformats.org/spreadsheetml/2006/main" count="2421" uniqueCount="865">
  <si>
    <t>序号</t>
  </si>
  <si>
    <t>核查方向</t>
  </si>
  <si>
    <t>核查点</t>
  </si>
  <si>
    <t>核查要求</t>
  </si>
  <si>
    <t>完整性</t>
  </si>
  <si>
    <t>数据库结构</t>
  </si>
  <si>
    <t>与县级耕地质量等级评价成果目录结构和名称要求保持一致，不同分区给不同的指标图，按所处农业区出图</t>
  </si>
  <si>
    <t>规范性</t>
  </si>
  <si>
    <t>提交成果的名称是否规范</t>
  </si>
  <si>
    <t>与县级耕地质量等级评价成果目录结构和名称要求保持一致</t>
  </si>
  <si>
    <t>提交成果的数据库结构是否规范</t>
  </si>
  <si>
    <t xml:space="preserve">与县级耕地质量等级评价成果目录结构和名称要求保持一致
1、字段名称、别名需与数据库要求一致
2、取值范围概念型的结果需要与规范保持一致，重点审核：耕层质地、质地构型、地形部位
3、所属二级农业区的评价指标和隶属度不能为空，非评价指标可以为空
4、一级农业区、二级农业区、省市县乡村名称、耕地平差面积、评价综合指数、质量等级、耕地年度粮食生产潜力水平、单季粮食生产潜力水平不能为空
5、平差面积单位为平方米，保留三位小数
6、耕层厚度、有效土层厚度、质量等级为整数
7、耕地年度粮食生产潜力水平、单季粮食生产潜力水平保留两位小数，单位为kg/亩
</t>
  </si>
  <si>
    <t>准确性</t>
  </si>
  <si>
    <t>评价单元</t>
  </si>
  <si>
    <t>与2023年国土变更调查中的耕地保持一致，核查图斑数量</t>
  </si>
  <si>
    <t>隶属度计算正确性</t>
  </si>
  <si>
    <t>按耕地质量等级评价技术规范要求核对隶属度取值
打开dbf文件，粘贴公式计算</t>
  </si>
  <si>
    <t>综合指数得分</t>
  </si>
  <si>
    <t>按耕地质量等级评价技术规范要求核对综合指数取值
打开dbf文件，粘贴公式计算</t>
  </si>
  <si>
    <t>农业区填写是否正确</t>
  </si>
  <si>
    <t>一级农业区和二级农业区要求</t>
  </si>
  <si>
    <t>平差面积总和是否正确</t>
  </si>
  <si>
    <t>与国土下发的面积保持一致</t>
  </si>
  <si>
    <t>省级耕地质量等级评价成果目录结构和名称</t>
  </si>
  <si>
    <t>县级耕地质量等级评价成果目录结构和名称</t>
  </si>
  <si>
    <t>类型</t>
  </si>
  <si>
    <t>目录结构和名称</t>
  </si>
  <si>
    <t>备注</t>
  </si>
  <si>
    <t>文件夹</t>
  </si>
  <si>
    <t>|——行政区划代码6位+省级行政区名称 //如“110000北京市”</t>
  </si>
  <si>
    <t>|——行政区划代码6位+县级行政区名称 //如“110113顺义区”</t>
  </si>
  <si>
    <t>||——数据库成果</t>
  </si>
  <si>
    <t>GDB数据库</t>
  </si>
  <si>
    <t>|||——行政区划代码6位+省级行政区名称.gdb //如“110000北京市.gdb”</t>
  </si>
  <si>
    <t>|||——行政区划代码6位+县级行政区名称.gdb //如“110113顺义区.gdb”</t>
  </si>
  <si>
    <t>矢量</t>
  </si>
  <si>
    <r>
      <t>||||</t>
    </r>
    <r>
      <rPr>
        <b/>
        <sz val="12"/>
        <color rgb="FF000000"/>
        <rFont val="宋体"/>
        <charset val="134"/>
        <scheme val="minor"/>
      </rPr>
      <t>——行政区划图</t>
    </r>
    <r>
      <rPr>
        <b/>
        <vertAlign val="superscript"/>
        <sz val="12"/>
        <color rgb="FF000000"/>
        <rFont val="宋体"/>
        <charset val="134"/>
        <scheme val="minor"/>
      </rPr>
      <t>*</t>
    </r>
    <r>
      <rPr>
        <sz val="12"/>
        <color rgb="FF000000"/>
        <rFont val="宋体"/>
        <charset val="134"/>
        <scheme val="minor"/>
      </rPr>
      <t xml:space="preserve"> //XZQ</t>
    </r>
  </si>
  <si>
    <t>包括省、市、县名称。</t>
  </si>
  <si>
    <r>
      <t>||||——</t>
    </r>
    <r>
      <rPr>
        <b/>
        <sz val="12"/>
        <color rgb="FF000000"/>
        <rFont val="宋体"/>
        <charset val="134"/>
        <scheme val="minor"/>
      </rPr>
      <t>行政区划图</t>
    </r>
    <r>
      <rPr>
        <b/>
        <vertAlign val="superscript"/>
        <sz val="12"/>
        <color rgb="FF000000"/>
        <rFont val="宋体"/>
        <charset val="134"/>
        <scheme val="minor"/>
      </rPr>
      <t>*</t>
    </r>
    <r>
      <rPr>
        <sz val="12"/>
        <color rgb="FF000000"/>
        <rFont val="宋体"/>
        <charset val="134"/>
        <scheme val="minor"/>
      </rPr>
      <t xml:space="preserve">   //XZQ</t>
    </r>
  </si>
  <si>
    <t>||||——土壤图</t>
  </si>
  <si>
    <t>三普成果</t>
  </si>
  <si>
    <t>||||——道路图</t>
  </si>
  <si>
    <t>||||——耕地质量等级评价样点图</t>
  </si>
  <si>
    <t>||||——水系图</t>
  </si>
  <si>
    <r>
      <t>||||——</t>
    </r>
    <r>
      <rPr>
        <b/>
        <sz val="12"/>
        <color rgb="FF000000"/>
        <rFont val="宋体"/>
        <charset val="134"/>
        <scheme val="minor"/>
      </rPr>
      <t>耕地质量等级评价单元图</t>
    </r>
    <r>
      <rPr>
        <b/>
        <vertAlign val="superscript"/>
        <sz val="12"/>
        <color rgb="FF000000"/>
        <rFont val="宋体"/>
        <charset val="134"/>
        <scheme val="minor"/>
      </rPr>
      <t>*</t>
    </r>
  </si>
  <si>
    <t>||——图件成果</t>
  </si>
  <si>
    <t>图片</t>
  </si>
  <si>
    <r>
      <t>|||——</t>
    </r>
    <r>
      <rPr>
        <b/>
        <sz val="12"/>
        <color rgb="FF000000"/>
        <rFont val="宋体"/>
        <charset val="134"/>
        <scheme val="minor"/>
      </rPr>
      <t>省级行政区名称+耕地质量等级图.jpg</t>
    </r>
    <r>
      <rPr>
        <b/>
        <vertAlign val="superscript"/>
        <sz val="12"/>
        <color rgb="FF000000"/>
        <rFont val="宋体"/>
        <charset val="134"/>
        <scheme val="minor"/>
      </rPr>
      <t>*</t>
    </r>
    <r>
      <rPr>
        <sz val="12"/>
        <color rgb="FF000000"/>
        <rFont val="宋体"/>
        <charset val="134"/>
        <scheme val="minor"/>
      </rPr>
      <t xml:space="preserve">  //如“北京市耕地质量等级图.jpg”</t>
    </r>
  </si>
  <si>
    <r>
      <t>|||——</t>
    </r>
    <r>
      <rPr>
        <b/>
        <sz val="12"/>
        <color rgb="FF000000"/>
        <rFont val="宋体"/>
        <charset val="134"/>
        <scheme val="minor"/>
      </rPr>
      <t>省级行政区名称+耕地粮食生产潜力分布图.jpg</t>
    </r>
    <r>
      <rPr>
        <b/>
        <vertAlign val="superscript"/>
        <sz val="12"/>
        <color rgb="FF000000"/>
        <rFont val="宋体"/>
        <charset val="134"/>
        <scheme val="minor"/>
      </rPr>
      <t>*</t>
    </r>
  </si>
  <si>
    <t>||||——2023年度土地利用变更调查地类图斑 //DLTB</t>
  </si>
  <si>
    <t>|||——省级行政区名称+耕地地形部位分布图.jpg</t>
  </si>
  <si>
    <t>|||——省级行政区名称+耕地有效土层厚度分级图.jpg</t>
  </si>
  <si>
    <r>
      <t>|||——</t>
    </r>
    <r>
      <rPr>
        <b/>
        <sz val="12"/>
        <color rgb="FF000000"/>
        <rFont val="宋体"/>
        <charset val="134"/>
        <scheme val="minor"/>
      </rPr>
      <t>行政区划代码6位+县级行政区名称+耕地质量等级图.jpg</t>
    </r>
    <r>
      <rPr>
        <b/>
        <vertAlign val="superscript"/>
        <sz val="12"/>
        <color rgb="FF000000"/>
        <rFont val="宋体"/>
        <charset val="134"/>
        <scheme val="minor"/>
      </rPr>
      <t>*</t>
    </r>
    <r>
      <rPr>
        <sz val="12"/>
        <color rgb="FF000000"/>
        <rFont val="宋体"/>
        <charset val="134"/>
        <scheme val="minor"/>
      </rPr>
      <t xml:space="preserve">  //如“110113顺义区耕地质量等级图.jpg”</t>
    </r>
  </si>
  <si>
    <t>|||——省级行政区名称+耕地质地构型分布图.jpg</t>
  </si>
  <si>
    <r>
      <t>|||——</t>
    </r>
    <r>
      <rPr>
        <b/>
        <sz val="12"/>
        <color rgb="FF000000"/>
        <rFont val="宋体"/>
        <charset val="134"/>
        <scheme val="minor"/>
      </rPr>
      <t>行政区划代码6位+县级行政区名称+耕地粮食生产潜力分布图.jpg</t>
    </r>
    <r>
      <rPr>
        <b/>
        <vertAlign val="superscript"/>
        <sz val="12"/>
        <color rgb="FF000000"/>
        <rFont val="宋体"/>
        <charset val="134"/>
        <scheme val="minor"/>
      </rPr>
      <t>*</t>
    </r>
  </si>
  <si>
    <t>|||——省级行政区名称+耕层厚度分级图.jpg</t>
  </si>
  <si>
    <t>|||——行政区划代码6位+县级行政区名称+耕地地形部位分布图.jpg</t>
  </si>
  <si>
    <t>|||——省级行政区名称+耕地海拔高度分级图.jpg</t>
  </si>
  <si>
    <t>|||——行政区划代码6位+县级行政区名称+耕地有效土层厚度分级图.jpg</t>
  </si>
  <si>
    <t>|||——省级行政区名称+耕层质地分布图.jpg</t>
  </si>
  <si>
    <t>|||——行政区划代码6位+县级行政区名称+耕地质地构型分布图.jpg</t>
  </si>
  <si>
    <t>|||——省级行政区名称+耕地土壤容重分级图.jpg</t>
  </si>
  <si>
    <t>|||——行政区划代码6位+县级行政区名称+耕层厚度分级图.jpg</t>
  </si>
  <si>
    <t>|||——省级行政区名称+耕地盐渍化程度分布图.jpg</t>
  </si>
  <si>
    <t>|||——行政区划代码6位+县级行政区名称+耕地海拔高度分级图.jpg</t>
  </si>
  <si>
    <t>|||——省级行政区名称+耕地土壤酸碱度分级图.jpg</t>
  </si>
  <si>
    <t>|||——行政区划代码6位+县级行政区名称+耕层质地分布图.jpg</t>
  </si>
  <si>
    <t>|||——省级行政区名称+耕地土壤有机质分级图.jpg</t>
  </si>
  <si>
    <t>|||——行政区划代码6位+县级行政区名称+耕地土壤容重分级图.jpg</t>
  </si>
  <si>
    <t>|||——省级行政区名称+耕地土壤有效磷分级图.jpg</t>
  </si>
  <si>
    <t>|||——行政区划代码6位+县级行政区名称+耕地盐渍化程度分布图.jpg</t>
  </si>
  <si>
    <t>|||——省级行政区名称+耕地土壤速效钾分级图.jpg</t>
  </si>
  <si>
    <t>|||——行政区划代码6位+省级行政区名称+耕地土壤酸碱度分级图.jpg</t>
  </si>
  <si>
    <t>|||——省级行政区名称+耕地水资源条件分区图.jpg</t>
  </si>
  <si>
    <t>|||——行政区划代码6位+县级行政区名称+耕地土壤有机质分级图.jpg</t>
  </si>
  <si>
    <t>|||——省级行政区名称+耕地排水能力分区图.jpg</t>
  </si>
  <si>
    <t>|||——行政区划代码6位+县级行政区名称+耕地土壤有效磷分级图.jpg</t>
  </si>
  <si>
    <t>|||——省级行政区名称+耕地农田林网化程度分布图.jpg</t>
  </si>
  <si>
    <t>|||——行政区划代码6位+县级行政区名称+耕地土壤速效钾分级图.jpg</t>
  </si>
  <si>
    <t>||——文字成果</t>
  </si>
  <si>
    <t>|||——行政区划代码6位+县级行政区名称+耕地水资源条件分区图.jpg</t>
  </si>
  <si>
    <t>文档</t>
  </si>
  <si>
    <r>
      <t>|||——</t>
    </r>
    <r>
      <rPr>
        <b/>
        <sz val="12"/>
        <color rgb="FF000000"/>
        <rFont val="宋体"/>
        <charset val="134"/>
        <scheme val="minor"/>
      </rPr>
      <t>行政区划代码6位+省级行政区名称+耕地质量等级评价报告.docx</t>
    </r>
    <r>
      <rPr>
        <b/>
        <vertAlign val="superscript"/>
        <sz val="12"/>
        <color rgb="FF000000"/>
        <rFont val="宋体"/>
        <charset val="134"/>
        <scheme val="minor"/>
      </rPr>
      <t>*</t>
    </r>
  </si>
  <si>
    <t>|||——行政区划代码6位+县级行政区名称+耕地排水能力分区图.jpg</t>
  </si>
  <si>
    <r>
      <t>|||——</t>
    </r>
    <r>
      <rPr>
        <b/>
        <sz val="12"/>
        <color rgb="FF000000"/>
        <rFont val="宋体"/>
        <charset val="134"/>
        <scheme val="minor"/>
      </rPr>
      <t>行政区划代码6位+省级行政区名称+耕地质量等级评价报告.pdf</t>
    </r>
    <r>
      <rPr>
        <b/>
        <vertAlign val="superscript"/>
        <sz val="12"/>
        <color rgb="FF000000"/>
        <rFont val="宋体"/>
        <charset val="134"/>
        <scheme val="minor"/>
      </rPr>
      <t>*</t>
    </r>
  </si>
  <si>
    <t>|||——行政区划代码6位+县级行政区名称+耕地农田林网化程度分布图.jpg</t>
  </si>
  <si>
    <t>注1：行政区划图属性结构描述参照《国土调查数据库标准》（TD/T1057-2020）。</t>
  </si>
  <si>
    <r>
      <t>|||——</t>
    </r>
    <r>
      <rPr>
        <b/>
        <sz val="12"/>
        <color rgb="FF000000"/>
        <rFont val="宋体"/>
        <charset val="134"/>
        <scheme val="minor"/>
      </rPr>
      <t>行政区划代码6位+县级行政区名称+耕地质量等级评价报告.docx</t>
    </r>
    <r>
      <rPr>
        <b/>
        <vertAlign val="superscript"/>
        <sz val="12"/>
        <color rgb="FF000000"/>
        <rFont val="宋体"/>
        <charset val="134"/>
        <scheme val="minor"/>
      </rPr>
      <t>*</t>
    </r>
  </si>
  <si>
    <r>
      <t>|||——</t>
    </r>
    <r>
      <rPr>
        <b/>
        <sz val="12"/>
        <color rgb="FF000000"/>
        <rFont val="宋体"/>
        <charset val="134"/>
        <scheme val="minor"/>
      </rPr>
      <t>行政区划代码6位+县级行政区名称+耕地质量等级评价报告.pdf</t>
    </r>
    <r>
      <rPr>
        <b/>
        <vertAlign val="superscript"/>
        <sz val="12"/>
        <color rgb="FF000000"/>
        <rFont val="宋体"/>
        <charset val="134"/>
        <scheme val="minor"/>
      </rPr>
      <t>*</t>
    </r>
  </si>
  <si>
    <t>||——附件</t>
  </si>
  <si>
    <t>|||——县级验收意见.pdf</t>
  </si>
  <si>
    <t>|||——省级验收意见.pdf</t>
  </si>
  <si>
    <t>|||——整改说明.doc</t>
  </si>
  <si>
    <t>注1：行政区划图、土地利用变更调查地类图斑属性结构描述参照《国土调查数据库标准》（TD/T1057-2020）。</t>
  </si>
  <si>
    <t>土壤图属性结构表</t>
  </si>
  <si>
    <t>字段名称</t>
  </si>
  <si>
    <t>字段别名</t>
  </si>
  <si>
    <t>字段类型</t>
  </si>
  <si>
    <t>字段长度</t>
  </si>
  <si>
    <t>小数位数</t>
  </si>
  <si>
    <t>XH</t>
  </si>
  <si>
    <t>Char</t>
  </si>
  <si>
    <t>TL</t>
  </si>
  <si>
    <t>土类</t>
  </si>
  <si>
    <t>YL</t>
  </si>
  <si>
    <t>亚类</t>
  </si>
  <si>
    <t>TS</t>
  </si>
  <si>
    <t>土属</t>
  </si>
  <si>
    <t>TZ</t>
  </si>
  <si>
    <t>土种</t>
  </si>
  <si>
    <t>LXMM</t>
  </si>
  <si>
    <t>土种连续命名</t>
  </si>
  <si>
    <t xml:space="preserve"> </t>
  </si>
  <si>
    <t>耕地质量等级评价样点属性结构表</t>
  </si>
  <si>
    <t>YDBH</t>
  </si>
  <si>
    <t>样点编号</t>
  </si>
  <si>
    <t>三普原始点位编号</t>
  </si>
  <si>
    <t>ZLDWDM</t>
  </si>
  <si>
    <t>坐落单位代码</t>
  </si>
  <si>
    <t>坐落单位到村级</t>
  </si>
  <si>
    <t>ZLDWMC</t>
  </si>
  <si>
    <t>坐落单位名称</t>
  </si>
  <si>
    <t>JD</t>
  </si>
  <si>
    <t>经度</t>
  </si>
  <si>
    <t>Float</t>
  </si>
  <si>
    <t>WD</t>
  </si>
  <si>
    <t>纬度</t>
  </si>
  <si>
    <t>三普土壤类型</t>
  </si>
  <si>
    <t>HBGD</t>
  </si>
  <si>
    <t>海拔高度</t>
  </si>
  <si>
    <t>DXBW</t>
  </si>
  <si>
    <t>地形部位</t>
  </si>
  <si>
    <t>QSLX</t>
  </si>
  <si>
    <t>侵蚀类型</t>
  </si>
  <si>
    <t>QSCD</t>
  </si>
  <si>
    <t>侵蚀程度</t>
  </si>
  <si>
    <t>PD</t>
  </si>
  <si>
    <t>坡度</t>
  </si>
  <si>
    <t>MY</t>
  </si>
  <si>
    <t>母岩</t>
  </si>
  <si>
    <t>MZ</t>
  </si>
  <si>
    <t>母质</t>
  </si>
  <si>
    <t>SFGBZNT</t>
  </si>
  <si>
    <t>是否高标准农田</t>
  </si>
  <si>
    <t>GGBZL</t>
  </si>
  <si>
    <t>灌溉保证率</t>
  </si>
  <si>
    <t>Int</t>
  </si>
  <si>
    <t>GGFS</t>
  </si>
  <si>
    <t>灌溉方式</t>
  </si>
  <si>
    <t>NTPSTJ</t>
  </si>
  <si>
    <t>排水条件</t>
  </si>
  <si>
    <t>GZCHD</t>
  </si>
  <si>
    <t>耕作层厚度</t>
  </si>
  <si>
    <t>TRRZ1</t>
  </si>
  <si>
    <t>土壤容重1</t>
  </si>
  <si>
    <t>TRRZ2</t>
  </si>
  <si>
    <t>土壤容重2</t>
  </si>
  <si>
    <t>TRRZ3</t>
  </si>
  <si>
    <t>土壤容重3</t>
  </si>
  <si>
    <t>TRRZ4</t>
  </si>
  <si>
    <t>土壤容重4</t>
  </si>
  <si>
    <t>TRRZPJZ</t>
  </si>
  <si>
    <t>土壤容重平均值</t>
  </si>
  <si>
    <t>JXZC1</t>
  </si>
  <si>
    <t>机械组成2~0.2mm颗粒含量</t>
  </si>
  <si>
    <t>JXZC2</t>
  </si>
  <si>
    <t>机械组成0.2~0.02mm 颗粒含量</t>
  </si>
  <si>
    <t>JXZC3</t>
  </si>
  <si>
    <t>机械组成0.02~0.002mm 颗粒含量</t>
  </si>
  <si>
    <t>JXZC4</t>
  </si>
  <si>
    <t>机械组成0.002mm以下 颗粒含量</t>
  </si>
  <si>
    <t>TRZD</t>
  </si>
  <si>
    <t>土壤质地</t>
  </si>
  <si>
    <t>SWXDTJT1</t>
  </si>
  <si>
    <t>水稳性大团聚体含量&gt;5mm</t>
  </si>
  <si>
    <t>SWXDTJT2</t>
  </si>
  <si>
    <t>水稳性大团聚体含量5mm~3mm</t>
  </si>
  <si>
    <t>SWXDTJT3</t>
  </si>
  <si>
    <t>水稳性大团聚体含量3mm~2mm</t>
  </si>
  <si>
    <t>SWXDTJT4</t>
  </si>
  <si>
    <t>水稳性大团聚体含量2mm~1mm</t>
  </si>
  <si>
    <t>SWXDTJT5</t>
  </si>
  <si>
    <t>水稳性大团聚体含量1mm~0.5mm</t>
  </si>
  <si>
    <t>SWXDTJT6</t>
  </si>
  <si>
    <t>水稳性大团聚体含量0.5mm~0.25mm</t>
  </si>
  <si>
    <t>SWXDTJT7</t>
  </si>
  <si>
    <t>水稳性大团聚体含量总和</t>
  </si>
  <si>
    <t>PH</t>
  </si>
  <si>
    <t>pH</t>
  </si>
  <si>
    <t>CEC</t>
  </si>
  <si>
    <t>阳离子交换量</t>
  </si>
  <si>
    <t>ECA</t>
  </si>
  <si>
    <t>交换性钙</t>
  </si>
  <si>
    <t>EMG</t>
  </si>
  <si>
    <t>交换性镁</t>
  </si>
  <si>
    <t>SRXYZL</t>
  </si>
  <si>
    <t>水溶性盐总量</t>
  </si>
  <si>
    <t>DDL</t>
  </si>
  <si>
    <t>电导率</t>
  </si>
  <si>
    <t>OM</t>
  </si>
  <si>
    <t>有机质</t>
  </si>
  <si>
    <t>TN</t>
  </si>
  <si>
    <t>全氮</t>
  </si>
  <si>
    <t>TP</t>
  </si>
  <si>
    <t>全磷</t>
  </si>
  <si>
    <t>TK</t>
  </si>
  <si>
    <t>全钾</t>
  </si>
  <si>
    <t>AP</t>
  </si>
  <si>
    <t>有效磷</t>
  </si>
  <si>
    <t>SK</t>
  </si>
  <si>
    <t>缓效钾</t>
  </si>
  <si>
    <t>AK</t>
  </si>
  <si>
    <t>速效钾</t>
  </si>
  <si>
    <t>AS1</t>
  </si>
  <si>
    <t>有效硫</t>
  </si>
  <si>
    <t>ASI</t>
  </si>
  <si>
    <t>有效硅</t>
  </si>
  <si>
    <t>AFE</t>
  </si>
  <si>
    <t>有效铁</t>
  </si>
  <si>
    <t>AMN</t>
  </si>
  <si>
    <t>有效锰</t>
  </si>
  <si>
    <t>ACU</t>
  </si>
  <si>
    <t>有效铜</t>
  </si>
  <si>
    <t>AZN</t>
  </si>
  <si>
    <t>有效锌</t>
  </si>
  <si>
    <t>AB</t>
  </si>
  <si>
    <t>有效硼</t>
  </si>
  <si>
    <t>AMO</t>
  </si>
  <si>
    <t>有效钼</t>
  </si>
  <si>
    <t>HG</t>
  </si>
  <si>
    <t>总汞</t>
  </si>
  <si>
    <t>AS2</t>
  </si>
  <si>
    <t>总砷</t>
  </si>
  <si>
    <t>PB</t>
  </si>
  <si>
    <t>总铅</t>
  </si>
  <si>
    <t>CD</t>
  </si>
  <si>
    <t>总镉</t>
  </si>
  <si>
    <t>CR</t>
  </si>
  <si>
    <t>总铬</t>
  </si>
  <si>
    <t>NI</t>
  </si>
  <si>
    <t>总镍</t>
  </si>
  <si>
    <t>ZZZWMC</t>
  </si>
  <si>
    <t>主栽作物名称</t>
  </si>
  <si>
    <t>NCL</t>
  </si>
  <si>
    <t>年产量</t>
  </si>
  <si>
    <t>年度粮食产量之和</t>
  </si>
  <si>
    <t>耕地质量等级评价单元图属性结构表</t>
  </si>
  <si>
    <t>NBBSM</t>
  </si>
  <si>
    <t>内部标识码</t>
  </si>
  <si>
    <t>Long</t>
  </si>
  <si>
    <t>YJNYQ</t>
  </si>
  <si>
    <t>一级农业区</t>
  </si>
  <si>
    <t>EJNYQ</t>
  </si>
  <si>
    <t>二级农业区</t>
  </si>
  <si>
    <t>PXZQMC</t>
  </si>
  <si>
    <t>省名称</t>
  </si>
  <si>
    <t>CXZQMC</t>
  </si>
  <si>
    <t>市名称</t>
  </si>
  <si>
    <t>XZQMC</t>
  </si>
  <si>
    <t>县名称</t>
  </si>
  <si>
    <t>TXZQMC</t>
  </si>
  <si>
    <t>乡镇名称</t>
  </si>
  <si>
    <t>XZCMC</t>
  </si>
  <si>
    <t>村名称</t>
  </si>
  <si>
    <t>DLBM</t>
  </si>
  <si>
    <t>地类编码</t>
  </si>
  <si>
    <t>DLMC</t>
  </si>
  <si>
    <t>地类名称</t>
  </si>
  <si>
    <t>GDPCMJ</t>
  </si>
  <si>
    <t>耕地平差面积</t>
  </si>
  <si>
    <t>Double</t>
  </si>
  <si>
    <t>单位：平方米</t>
  </si>
  <si>
    <t>核查3位小数，看总面积是否与要求的平差面积一致</t>
  </si>
  <si>
    <t>YXTCHD</t>
  </si>
  <si>
    <t>有效土层厚度</t>
  </si>
  <si>
    <t>单位：cm</t>
  </si>
  <si>
    <t>整数</t>
  </si>
  <si>
    <t>ZDGX</t>
  </si>
  <si>
    <t>质地构型</t>
  </si>
  <si>
    <t>GCZD</t>
  </si>
  <si>
    <t>耕层质地</t>
  </si>
  <si>
    <t>TRRZ</t>
  </si>
  <si>
    <t>土壤容重</t>
  </si>
  <si>
    <r>
      <t>单位：g/cm</t>
    </r>
    <r>
      <rPr>
        <vertAlign val="superscript"/>
        <sz val="12"/>
        <color rgb="FF000000"/>
        <rFont val="宋体"/>
        <charset val="134"/>
        <scheme val="minor"/>
      </rPr>
      <t>3</t>
    </r>
  </si>
  <si>
    <t>单位：g/kg</t>
  </si>
  <si>
    <t>单位：mg/kg</t>
  </si>
  <si>
    <t>SZYTJ</t>
  </si>
  <si>
    <t>水资源条件</t>
  </si>
  <si>
    <t>PSNL</t>
  </si>
  <si>
    <t>排水能力</t>
  </si>
  <si>
    <t>GCHD</t>
  </si>
  <si>
    <t>耕层厚度</t>
  </si>
  <si>
    <t>酸碱度</t>
  </si>
  <si>
    <t>海拔</t>
  </si>
  <si>
    <t>YZHCD</t>
  </si>
  <si>
    <t>盐渍化程度</t>
  </si>
  <si>
    <t>NTLWH</t>
  </si>
  <si>
    <t>农田林网化程度</t>
  </si>
  <si>
    <t>FDXBW</t>
  </si>
  <si>
    <t>F地形部位</t>
  </si>
  <si>
    <t>指标隶属度分值：依据《第三次全国土壤普查耕地质量等级评价技术规范》计算。其中，数值型指标通过隶属函数计算，概念型指标通过隶属度表格查表对照。</t>
  </si>
  <si>
    <t>FYXTCHD</t>
  </si>
  <si>
    <t>F有效土层厚度</t>
  </si>
  <si>
    <t>FZDGX</t>
  </si>
  <si>
    <t>F质地构型</t>
  </si>
  <si>
    <t>FGCZD</t>
  </si>
  <si>
    <t>F耕层质地</t>
  </si>
  <si>
    <t>FTRRZ</t>
  </si>
  <si>
    <t>F土壤容重</t>
  </si>
  <si>
    <t>FOM</t>
  </si>
  <si>
    <t>F有机质</t>
  </si>
  <si>
    <t>FAP</t>
  </si>
  <si>
    <t>F有效磷</t>
  </si>
  <si>
    <t>FAK</t>
  </si>
  <si>
    <t>F速效钾</t>
  </si>
  <si>
    <t>FSZYTJ</t>
  </si>
  <si>
    <t>F水资源条件</t>
  </si>
  <si>
    <t>FPSNL</t>
  </si>
  <si>
    <t>F排水能力</t>
  </si>
  <si>
    <t>FGCHD</t>
  </si>
  <si>
    <t>F耕层厚度</t>
  </si>
  <si>
    <t>FPH</t>
  </si>
  <si>
    <t>F酸碱度</t>
  </si>
  <si>
    <t>FHBGD</t>
  </si>
  <si>
    <t>F海拔</t>
  </si>
  <si>
    <t>FYZHCD</t>
  </si>
  <si>
    <t>F盐渍化程度</t>
  </si>
  <si>
    <t>FNTLWH</t>
  </si>
  <si>
    <t>F农田林网化程度</t>
  </si>
  <si>
    <t>PJZHZS</t>
  </si>
  <si>
    <t>评价综合指数</t>
  </si>
  <si>
    <t>指标权重×隶属度累加</t>
  </si>
  <si>
    <t>ZLDJ</t>
  </si>
  <si>
    <t>质量等级</t>
  </si>
  <si>
    <t>数值型表示1,2…</t>
  </si>
  <si>
    <t>GDNDLSSCQLSP</t>
  </si>
  <si>
    <t>耕地年度粮食生产潜力水平</t>
  </si>
  <si>
    <t>单位：kg/亩</t>
  </si>
  <si>
    <t>DJLSSCQLSP</t>
  </si>
  <si>
    <t>单季粮食生产潜力水平</t>
  </si>
  <si>
    <t>省名</t>
  </si>
  <si>
    <t>市名</t>
  </si>
  <si>
    <t>县名</t>
  </si>
  <si>
    <t>内蒙古及长城沿线区</t>
  </si>
  <si>
    <t>内蒙古中南部牧农区</t>
  </si>
  <si>
    <t>河北省</t>
  </si>
  <si>
    <t>张家口市</t>
  </si>
  <si>
    <t>康保</t>
  </si>
  <si>
    <t>沽源县</t>
  </si>
  <si>
    <t>尚义县</t>
  </si>
  <si>
    <t>张北县</t>
  </si>
  <si>
    <t>承德市</t>
  </si>
  <si>
    <t>丰宁满族自治县</t>
  </si>
  <si>
    <t>围场县</t>
  </si>
  <si>
    <t>长城沿线农牧区</t>
  </si>
  <si>
    <t>双桥区</t>
  </si>
  <si>
    <t>双滦区</t>
  </si>
  <si>
    <t>鹰手营子矿区</t>
  </si>
  <si>
    <t>滦平县</t>
  </si>
  <si>
    <t>平泉市</t>
  </si>
  <si>
    <t>宽城满族自治县</t>
  </si>
  <si>
    <t>兴隆县</t>
  </si>
  <si>
    <t>承德县</t>
  </si>
  <si>
    <t>隆化县</t>
  </si>
  <si>
    <t>涿鹿县</t>
  </si>
  <si>
    <t>阳原县</t>
  </si>
  <si>
    <t>蔚县</t>
  </si>
  <si>
    <t>怀来县</t>
  </si>
  <si>
    <t>怀安县</t>
  </si>
  <si>
    <t>宣化区</t>
  </si>
  <si>
    <t>合并区</t>
  </si>
  <si>
    <t>下花园区</t>
  </si>
  <si>
    <t>赤城县</t>
  </si>
  <si>
    <t>万全区</t>
  </si>
  <si>
    <t>崇礼区</t>
  </si>
  <si>
    <t>秦皇岛市</t>
  </si>
  <si>
    <t>青龙县</t>
  </si>
  <si>
    <t>保定市</t>
  </si>
  <si>
    <t>涞源县</t>
  </si>
  <si>
    <t>黄淮海农业区</t>
  </si>
  <si>
    <t>冀鲁豫低洼平原农业区</t>
  </si>
  <si>
    <t>雄安新区</t>
  </si>
  <si>
    <t>雄县</t>
  </si>
  <si>
    <t>安新县</t>
  </si>
  <si>
    <t>唐山市</t>
  </si>
  <si>
    <t>丰南区</t>
  </si>
  <si>
    <t>曹妃甸区</t>
  </si>
  <si>
    <t>滦南区</t>
  </si>
  <si>
    <t>乐亭区</t>
  </si>
  <si>
    <t>邯郸市</t>
  </si>
  <si>
    <t>广平县</t>
  </si>
  <si>
    <t>魏县</t>
  </si>
  <si>
    <t>馆陶县</t>
  </si>
  <si>
    <t>大名县</t>
  </si>
  <si>
    <t>邱县</t>
  </si>
  <si>
    <t>鸡泽县</t>
  </si>
  <si>
    <t>曲周县</t>
  </si>
  <si>
    <t>邢台市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</si>
  <si>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</si>
  <si>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</si>
  <si>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</si>
  <si>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</si>
  <si>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</si>
  <si>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</si>
  <si>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</si>
  <si>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</si>
  <si>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衡水市</t>
  </si>
  <si>
    <t>武邑县</t>
  </si>
  <si>
    <t>安平县</t>
  </si>
  <si>
    <t>饶阳县</t>
  </si>
  <si>
    <t>景县</t>
  </si>
  <si>
    <t>深州市</t>
  </si>
  <si>
    <t>武强县</t>
  </si>
  <si>
    <t>冀州区</t>
  </si>
  <si>
    <t>桃城区</t>
  </si>
  <si>
    <t>阜城县</t>
  </si>
  <si>
    <t>枣强县</t>
  </si>
  <si>
    <t>故城县</t>
  </si>
  <si>
    <t>高阳县</t>
  </si>
  <si>
    <t>沧州市</t>
  </si>
  <si>
    <t>市合并区</t>
  </si>
  <si>
    <t>沧县</t>
  </si>
  <si>
    <t>青县</t>
  </si>
  <si>
    <t>肃宁县</t>
  </si>
  <si>
    <t>献县</t>
  </si>
  <si>
    <t>泊头市</t>
  </si>
  <si>
    <t>东光县</t>
  </si>
  <si>
    <t>吴桥县</t>
  </si>
  <si>
    <t>盐山县</t>
  </si>
  <si>
    <t>孟村县</t>
  </si>
  <si>
    <t>海兴县</t>
  </si>
  <si>
    <t>黄骅市</t>
  </si>
  <si>
    <t>南皮县</t>
  </si>
  <si>
    <t>任丘市</t>
  </si>
  <si>
    <t>河间市</t>
  </si>
  <si>
    <t>廊坊市</t>
  </si>
  <si>
    <t>安次区</t>
  </si>
  <si>
    <t>广阳区</t>
  </si>
  <si>
    <t>霸州市</t>
  </si>
  <si>
    <t>固安县</t>
  </si>
  <si>
    <t>永清县</t>
  </si>
  <si>
    <t>大城县</t>
  </si>
  <si>
    <t>文安县</t>
  </si>
  <si>
    <t>燕山太行山山麓平原农业区</t>
  </si>
  <si>
    <t>容城县</t>
  </si>
  <si>
    <t>辛集市</t>
  </si>
  <si>
    <t>路南区</t>
  </si>
  <si>
    <t>路北区</t>
  </si>
  <si>
    <t>古冶区</t>
  </si>
  <si>
    <t>开平区</t>
  </si>
  <si>
    <t>汉沽管理区</t>
  </si>
  <si>
    <t>丰润区</t>
  </si>
  <si>
    <t>迁西县</t>
  </si>
  <si>
    <t>遵化市</t>
  </si>
  <si>
    <t>迁安市</t>
  </si>
  <si>
    <t>玉田县</t>
  </si>
  <si>
    <t>高新</t>
  </si>
  <si>
    <t>滦州市</t>
  </si>
  <si>
    <t>昌黎县</t>
  </si>
  <si>
    <t>卢龙县</t>
  </si>
  <si>
    <t>抚宁县</t>
  </si>
  <si>
    <t>峰峰矿区</t>
  </si>
  <si>
    <t>复兴区</t>
  </si>
  <si>
    <t>丛台区</t>
  </si>
  <si>
    <t>邯山区</t>
  </si>
  <si>
    <t>肥乡区</t>
  </si>
  <si>
    <t>成安县</t>
  </si>
  <si>
    <t>武安市</t>
  </si>
  <si>
    <t>磁县</t>
  </si>
  <si>
    <t>临漳</t>
  </si>
  <si>
    <t>永年区</t>
  </si>
  <si>
    <t>定州市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</si>
  <si>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</si>
  <si>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</si>
  <si>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</si>
  <si>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</si>
  <si>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</si>
  <si>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</si>
  <si>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</si>
  <si>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</si>
  <si>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</si>
  <si>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沙河市</t>
  </si>
  <si>
    <t>涞水县</t>
  </si>
  <si>
    <t>高碑店市</t>
  </si>
  <si>
    <t>涿州市</t>
  </si>
  <si>
    <t>清苑区</t>
  </si>
  <si>
    <t>望都县</t>
  </si>
  <si>
    <t>定兴县</t>
  </si>
  <si>
    <t>易县</t>
  </si>
  <si>
    <t>顺平县</t>
  </si>
  <si>
    <t>博野县</t>
  </si>
  <si>
    <t>蠡县</t>
  </si>
  <si>
    <t>安国市</t>
  </si>
  <si>
    <t>满城区</t>
  </si>
  <si>
    <t>徐水区</t>
  </si>
  <si>
    <t>唐县</t>
  </si>
  <si>
    <t>曲阳</t>
  </si>
  <si>
    <t>大厂回族自治县</t>
  </si>
  <si>
    <t>三河市</t>
  </si>
  <si>
    <t>香河县</t>
  </si>
  <si>
    <t>石家庄市</t>
  </si>
  <si>
    <t>赵县</t>
  </si>
  <si>
    <t>高邑县</t>
  </si>
  <si>
    <t>栾城区</t>
  </si>
  <si>
    <t>合并区（不含矿区）</t>
  </si>
  <si>
    <t>无极县</t>
  </si>
  <si>
    <t>深泽县</t>
  </si>
  <si>
    <t>藁城区</t>
  </si>
  <si>
    <t>晋州市</t>
  </si>
  <si>
    <t>新乐市</t>
  </si>
  <si>
    <t>正定县</t>
  </si>
  <si>
    <t>元氏县</t>
  </si>
  <si>
    <t>行唐县</t>
  </si>
  <si>
    <t>赞皇县</t>
  </si>
  <si>
    <t>灵寿县</t>
  </si>
  <si>
    <t>鹿泉区</t>
  </si>
  <si>
    <t>黄土高原区</t>
  </si>
  <si>
    <t>晋东豫西丘陵山地农林牧区</t>
  </si>
  <si>
    <t>涉县</t>
  </si>
  <si>
    <t>阜平</t>
  </si>
  <si>
    <t>井陉矿区</t>
  </si>
  <si>
    <t>平山县</t>
  </si>
  <si>
    <t>井陉县</t>
  </si>
  <si>
    <t>\</t>
  </si>
  <si>
    <t>单位：公顷</t>
  </si>
  <si>
    <t>行政区域</t>
  </si>
  <si>
    <t>耕地（01）</t>
  </si>
  <si>
    <t>名称</t>
  </si>
  <si>
    <t>代码</t>
  </si>
  <si>
    <t>小计
(01)</t>
  </si>
  <si>
    <t>水田
（0101）</t>
  </si>
  <si>
    <t>水浇地
（0102）</t>
  </si>
  <si>
    <t>旱地
（0103）</t>
  </si>
  <si>
    <t>130000</t>
  </si>
  <si>
    <t>130100</t>
  </si>
  <si>
    <t>长安区</t>
  </si>
  <si>
    <t>130102</t>
  </si>
  <si>
    <t>桥西区</t>
  </si>
  <si>
    <t>130104</t>
  </si>
  <si>
    <t>新华区</t>
  </si>
  <si>
    <t>130105</t>
  </si>
  <si>
    <t>130107</t>
  </si>
  <si>
    <t>裕华区</t>
  </si>
  <si>
    <t>130108</t>
  </si>
  <si>
    <t>130109</t>
  </si>
  <si>
    <t>130110</t>
  </si>
  <si>
    <t>130111</t>
  </si>
  <si>
    <t>130121</t>
  </si>
  <si>
    <t>130123</t>
  </si>
  <si>
    <t>130125</t>
  </si>
  <si>
    <t>130126</t>
  </si>
  <si>
    <t>130127</t>
  </si>
  <si>
    <t>130128</t>
  </si>
  <si>
    <t>130129</t>
  </si>
  <si>
    <t>130130</t>
  </si>
  <si>
    <t>130131</t>
  </si>
  <si>
    <t>130132</t>
  </si>
  <si>
    <t>130133</t>
  </si>
  <si>
    <t>130181</t>
  </si>
  <si>
    <t>130183</t>
  </si>
  <si>
    <t>130184</t>
  </si>
  <si>
    <t>130200</t>
  </si>
  <si>
    <t>130202</t>
  </si>
  <si>
    <t>130203</t>
  </si>
  <si>
    <t>130204</t>
  </si>
  <si>
    <t>130205</t>
  </si>
  <si>
    <t>130207</t>
  </si>
  <si>
    <t>130208</t>
  </si>
  <si>
    <t>130209</t>
  </si>
  <si>
    <t>滦南县</t>
  </si>
  <si>
    <t>130224</t>
  </si>
  <si>
    <t>乐亭县</t>
  </si>
  <si>
    <t>130225</t>
  </si>
  <si>
    <t>130227</t>
  </si>
  <si>
    <t>130229</t>
  </si>
  <si>
    <t>130232</t>
  </si>
  <si>
    <t>130281</t>
  </si>
  <si>
    <t>130283</t>
  </si>
  <si>
    <t>130284</t>
  </si>
  <si>
    <t>130300</t>
  </si>
  <si>
    <t>海港区</t>
  </si>
  <si>
    <t>130302</t>
  </si>
  <si>
    <t>山海关区</t>
  </si>
  <si>
    <t>130303</t>
  </si>
  <si>
    <t>北戴河区</t>
  </si>
  <si>
    <t>130304</t>
  </si>
  <si>
    <t>抚宁区</t>
  </si>
  <si>
    <t>130306</t>
  </si>
  <si>
    <t>青龙满族自治县</t>
  </si>
  <si>
    <t>130321</t>
  </si>
  <si>
    <t>130322</t>
  </si>
  <si>
    <t>130324</t>
  </si>
  <si>
    <t>130400</t>
  </si>
  <si>
    <t>130402</t>
  </si>
  <si>
    <t>130403</t>
  </si>
  <si>
    <t>130404</t>
  </si>
  <si>
    <t>130406</t>
  </si>
  <si>
    <t>130407</t>
  </si>
  <si>
    <t>130408</t>
  </si>
  <si>
    <t>临漳县</t>
  </si>
  <si>
    <t>130423</t>
  </si>
  <si>
    <t>130424</t>
  </si>
  <si>
    <t>130425</t>
  </si>
  <si>
    <t>130426</t>
  </si>
  <si>
    <t>130427</t>
  </si>
  <si>
    <t>130430</t>
  </si>
  <si>
    <t>130431</t>
  </si>
  <si>
    <t>130432</t>
  </si>
  <si>
    <t>130433</t>
  </si>
  <si>
    <t>130434</t>
  </si>
  <si>
    <t>130435</t>
  </si>
  <si>
    <t>130481</t>
  </si>
  <si>
    <t>130500</t>
  </si>
  <si>
    <t>130502</t>
  </si>
  <si>
    <t>130503</t>
  </si>
  <si>
    <t>130505</t>
  </si>
  <si>
    <t>130506</t>
  </si>
  <si>
    <t>130522</t>
  </si>
  <si>
    <t>130523</t>
  </si>
  <si>
    <t>130524</t>
  </si>
  <si>
    <t>130525</t>
  </si>
  <si>
    <t>130528</t>
  </si>
  <si>
    <t>130529</t>
  </si>
  <si>
    <t>130530</t>
  </si>
  <si>
    <t>130531</t>
  </si>
  <si>
    <t>130532</t>
  </si>
  <si>
    <t>130533</t>
  </si>
  <si>
    <t>130534</t>
  </si>
  <si>
    <t>130535</t>
  </si>
  <si>
    <t>130581</t>
  </si>
  <si>
    <t>130582</t>
  </si>
  <si>
    <t>130600</t>
  </si>
  <si>
    <t>竞秀区</t>
  </si>
  <si>
    <t>130602</t>
  </si>
  <si>
    <t>莲池区</t>
  </si>
  <si>
    <t>130606</t>
  </si>
  <si>
    <t>130607</t>
  </si>
  <si>
    <t>130608</t>
  </si>
  <si>
    <t>130609</t>
  </si>
  <si>
    <t>130623</t>
  </si>
  <si>
    <t>阜平县</t>
  </si>
  <si>
    <t>130624</t>
  </si>
  <si>
    <t>130626</t>
  </si>
  <si>
    <t>130627</t>
  </si>
  <si>
    <t>130628</t>
  </si>
  <si>
    <t>130629</t>
  </si>
  <si>
    <t>130630</t>
  </si>
  <si>
    <t>130631</t>
  </si>
  <si>
    <t>130632</t>
  </si>
  <si>
    <t>130633</t>
  </si>
  <si>
    <t>曲阳县</t>
  </si>
  <si>
    <t>130634</t>
  </si>
  <si>
    <t>130635</t>
  </si>
  <si>
    <t>130636</t>
  </si>
  <si>
    <t>130637</t>
  </si>
  <si>
    <t>130638</t>
  </si>
  <si>
    <t>130681</t>
  </si>
  <si>
    <t>130682</t>
  </si>
  <si>
    <t>130683</t>
  </si>
  <si>
    <t>130684</t>
  </si>
  <si>
    <t>130700</t>
  </si>
  <si>
    <t>桥东区</t>
  </si>
  <si>
    <t>130702</t>
  </si>
  <si>
    <t>130703</t>
  </si>
  <si>
    <t>130705</t>
  </si>
  <si>
    <t>130706</t>
  </si>
  <si>
    <t>130708</t>
  </si>
  <si>
    <t>130709</t>
  </si>
  <si>
    <t>130722</t>
  </si>
  <si>
    <t>康保县</t>
  </si>
  <si>
    <t>130723</t>
  </si>
  <si>
    <t>130724</t>
  </si>
  <si>
    <t>130725</t>
  </si>
  <si>
    <t>130726</t>
  </si>
  <si>
    <t>130727</t>
  </si>
  <si>
    <t>130728</t>
  </si>
  <si>
    <t>130730</t>
  </si>
  <si>
    <t>130731</t>
  </si>
  <si>
    <t>130732</t>
  </si>
  <si>
    <t>130800</t>
  </si>
  <si>
    <t>130802</t>
  </si>
  <si>
    <t>130803</t>
  </si>
  <si>
    <t>130804</t>
  </si>
  <si>
    <t>130821</t>
  </si>
  <si>
    <t>130822</t>
  </si>
  <si>
    <t>130824</t>
  </si>
  <si>
    <t>130825</t>
  </si>
  <si>
    <t>130826</t>
  </si>
  <si>
    <t>130827</t>
  </si>
  <si>
    <t>围场满族蒙古族自治县</t>
  </si>
  <si>
    <t>130828</t>
  </si>
  <si>
    <t>130881</t>
  </si>
  <si>
    <t>130900</t>
  </si>
  <si>
    <t>130902</t>
  </si>
  <si>
    <t>运河区</t>
  </si>
  <si>
    <t>130903</t>
  </si>
  <si>
    <t>130921</t>
  </si>
  <si>
    <t>130922</t>
  </si>
  <si>
    <t>130923</t>
  </si>
  <si>
    <t>130924</t>
  </si>
  <si>
    <t>130925</t>
  </si>
  <si>
    <t>130926</t>
  </si>
  <si>
    <t>130927</t>
  </si>
  <si>
    <t>130928</t>
  </si>
  <si>
    <t>130929</t>
  </si>
  <si>
    <t>孟村回族自治县</t>
  </si>
  <si>
    <t>130930</t>
  </si>
  <si>
    <t>130981</t>
  </si>
  <si>
    <t>130982</t>
  </si>
  <si>
    <t>130983</t>
  </si>
  <si>
    <t>130984</t>
  </si>
  <si>
    <t>131000</t>
  </si>
  <si>
    <t>131002</t>
  </si>
  <si>
    <t>131003</t>
  </si>
  <si>
    <t>131022</t>
  </si>
  <si>
    <t>131023</t>
  </si>
  <si>
    <t>131024</t>
  </si>
  <si>
    <t>131025</t>
  </si>
  <si>
    <t>131026</t>
  </si>
  <si>
    <t>131028</t>
  </si>
  <si>
    <t>131081</t>
  </si>
  <si>
    <t>131082</t>
  </si>
  <si>
    <t>131100</t>
  </si>
  <si>
    <t>131102</t>
  </si>
  <si>
    <t>131103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</si>
  <si>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</si>
  <si>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</si>
  <si>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</si>
  <si>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</si>
  <si>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</si>
  <si>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</si>
  <si>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</si>
  <si>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</si>
  <si>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131182</t>
  </si>
  <si>
    <t>内蒙古中南部牧农区-权重</t>
  </si>
  <si>
    <t>长城沿线农牧区-隶属度</t>
  </si>
  <si>
    <t>隶属度-概念型</t>
  </si>
  <si>
    <t>指标名称</t>
  </si>
  <si>
    <t>指标权重</t>
  </si>
  <si>
    <t>山间盆地</t>
  </si>
  <si>
    <t>宽谷盆地</t>
  </si>
  <si>
    <t>平原低阶</t>
  </si>
  <si>
    <t>平原中阶</t>
  </si>
  <si>
    <t>平原高阶</t>
  </si>
  <si>
    <t>丘陵上部</t>
  </si>
  <si>
    <t>丘陵中部</t>
  </si>
  <si>
    <t>丘陵下部</t>
  </si>
  <si>
    <t>山地坡上</t>
  </si>
  <si>
    <t>山地坡中</t>
  </si>
  <si>
    <t>山地坡下</t>
  </si>
  <si>
    <t>隶属度</t>
  </si>
  <si>
    <t>壤土</t>
  </si>
  <si>
    <t>粉（砂）质壤土</t>
  </si>
  <si>
    <t>黏壤土</t>
  </si>
  <si>
    <t>粉（砂）质黏壤土</t>
  </si>
  <si>
    <t>粉（砂）质黏土</t>
  </si>
  <si>
    <t>砂质黏壤土</t>
  </si>
  <si>
    <t>砂质壤土</t>
  </si>
  <si>
    <t>壤质黏土</t>
  </si>
  <si>
    <t>黏土</t>
  </si>
  <si>
    <t>砂质黏土</t>
  </si>
  <si>
    <t>重黏土</t>
  </si>
  <si>
    <t>砂土及壤质砂土</t>
  </si>
  <si>
    <t>上松下紧型</t>
  </si>
  <si>
    <t>海绵型</t>
  </si>
  <si>
    <t>夹层型</t>
  </si>
  <si>
    <t>紧实型</t>
  </si>
  <si>
    <t>上紧下松型</t>
  </si>
  <si>
    <t>松散型</t>
  </si>
  <si>
    <t>薄层型</t>
  </si>
  <si>
    <t>灌溉能力</t>
  </si>
  <si>
    <t>充分满足</t>
  </si>
  <si>
    <t>满足</t>
  </si>
  <si>
    <t>基本满足</t>
  </si>
  <si>
    <t>不满足</t>
  </si>
  <si>
    <t>高</t>
  </si>
  <si>
    <t>中</t>
  </si>
  <si>
    <t>低</t>
  </si>
  <si>
    <t>无</t>
  </si>
  <si>
    <t>轻度</t>
  </si>
  <si>
    <t>中度</t>
  </si>
  <si>
    <t>重度</t>
  </si>
  <si>
    <t>隶属度-数值型</t>
  </si>
  <si>
    <t>函数类型</t>
  </si>
  <si>
    <t>函数公式</t>
  </si>
  <si>
    <t>a值</t>
  </si>
  <si>
    <t>c值</t>
  </si>
  <si>
    <t>u的下限值</t>
  </si>
  <si>
    <t>u的上限值</t>
  </si>
  <si>
    <t>峰型</t>
  </si>
  <si>
    <t>y=1/(1+a(u-c)²)</t>
  </si>
  <si>
    <t>戒上型</t>
  </si>
  <si>
    <t>0.003730</t>
  </si>
  <si>
    <t>248.020860</t>
  </si>
  <si>
    <t>33.707040</t>
  </si>
  <si>
    <t>注：y为隶属度；a为系数；u为实测值；c为标准指标。当函数类型为戒上型，u小于等于下限值时，y为0；u大于等于上限值，y为1；当函数类型为峰型，u小于等于下限值或u大于等于上限值时，y为0。</t>
  </si>
  <si>
    <t>等级划分指数</t>
  </si>
  <si>
    <t>耕地质量等级</t>
  </si>
  <si>
    <t>综合指数范围</t>
  </si>
  <si>
    <t>一等</t>
  </si>
  <si>
    <t>≥0.8218</t>
  </si>
  <si>
    <t>六等</t>
  </si>
  <si>
    <t>0.6953~0.7228</t>
  </si>
  <si>
    <t>二等</t>
  </si>
  <si>
    <t>0.8017~0.8218</t>
  </si>
  <si>
    <t>七等</t>
  </si>
  <si>
    <t>0.6686~0.6953</t>
  </si>
  <si>
    <t>三等</t>
  </si>
  <si>
    <t>0.7768~0.8017</t>
  </si>
  <si>
    <t>八等</t>
  </si>
  <si>
    <t>0.6399~0.6686</t>
  </si>
  <si>
    <t>四等</t>
  </si>
  <si>
    <t>0.7490~0.7768</t>
  </si>
  <si>
    <t>九等</t>
  </si>
  <si>
    <t>0.6044~0.6399</t>
  </si>
  <si>
    <t>五等</t>
  </si>
  <si>
    <t>0.7228~0.7490</t>
  </si>
  <si>
    <t>十等</t>
  </si>
  <si>
    <t>＜0.6044</t>
  </si>
  <si>
    <t>黄淮海区</t>
  </si>
  <si>
    <t>82.0</t>
  </si>
  <si>
    <t>注：y为隶属度；a为系数；u为实测值；c为标准指标。当函数类型为戒上型，u小于等于下限值时，y为0；u大于等于上限值时，y为1；当函数类型为戒下型，u小于等于下限值时，y为1，u大于等于上限值时，y为0。当函数类型为峰型，u小于等于下限值或u大于等于上限值时，y为0。</t>
  </si>
  <si>
    <t>≥0.9460</t>
  </si>
  <si>
    <t>0.7960~0.8260</t>
  </si>
  <si>
    <t>0.9160~0.9460</t>
  </si>
  <si>
    <t>0.7660~0.7960</t>
  </si>
  <si>
    <t>0.8860~0.9460</t>
  </si>
  <si>
    <t>0.7360~0.7660</t>
  </si>
  <si>
    <t>0.8560~0.8860</t>
  </si>
  <si>
    <t>0.7060~0.7360</t>
  </si>
  <si>
    <t>0.8260~0.8560</t>
  </si>
  <si>
    <t>＜0.7060</t>
  </si>
  <si>
    <r>
      <t>山间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盆地</t>
    </r>
  </si>
  <si>
    <r>
      <t>宽谷</t>
    </r>
    <r>
      <rPr>
        <sz val="10"/>
        <color rgb="FF000000"/>
        <rFont val="SimSun"/>
        <charset val="134"/>
      </rPr>
      <t xml:space="preserve">
</t>
    </r>
    <r>
      <rPr>
        <sz val="10"/>
        <color rgb="FF000000"/>
        <rFont val="SimSun"/>
        <charset val="134"/>
      </rPr>
      <t>盆地</t>
    </r>
  </si>
  <si>
    <t>低阶地</t>
  </si>
  <si>
    <t>中阶地</t>
  </si>
  <si>
    <t>高阶地</t>
  </si>
  <si>
    <t>塬</t>
  </si>
  <si>
    <t>13.0</t>
  </si>
  <si>
    <t>戒下型</t>
  </si>
  <si>
    <t>注：y为隶属度；a为系数；u为实测值；c为标准指标。当函数类型为戒上型，u小于等于下限值时，y为0；u大于等于上限值时，y为1；当函数类型为戒下型，u小于等于下限值时，y为1；u大于等于上限值时，y为0；当函数类型为峰型，u小于等于下限值或u大于等于上限值时，y为0。</t>
  </si>
  <si>
    <t>≥0.8970</t>
  </si>
  <si>
    <t>0.6945~0.7350</t>
  </si>
  <si>
    <t>0.8565~0.8970</t>
  </si>
  <si>
    <t>0.6540~0.6945</t>
  </si>
  <si>
    <t>0.8160~0.8565</t>
  </si>
  <si>
    <t>0.6135~0.6540</t>
  </si>
  <si>
    <t>0.7755~0.8160</t>
  </si>
  <si>
    <t>0.5730~0.6135</t>
  </si>
  <si>
    <t>0.7350~0.7755</t>
  </si>
  <si>
    <t>&lt; 0.5730</t>
  </si>
  <si>
    <t>问题</t>
  </si>
  <si>
    <t>解答</t>
  </si>
  <si>
    <t>产量信息提取示例</t>
  </si>
  <si>
    <t>第一季产量</t>
  </si>
  <si>
    <t>第一季作物类型</t>
  </si>
  <si>
    <t>第二季产量</t>
  </si>
  <si>
    <t>第二季作物类型</t>
  </si>
  <si>
    <t>化验数据存在平行样时，数值如何填报</t>
  </si>
  <si>
    <t>对平行样的样本求平均</t>
  </si>
  <si>
    <t>[{"cl":"500","jcfs":"1","jcfsqt":"","jd":"第一季","uuid":"3c723ce2-2074-43af-8921-4d4e3074846d","zwlx":"02","zwlxqt":""},{"jd":"第二季","zwlx":"22","cl":"3500","uuid":"-1367738855","zwlxqt":"大葱","jcfs":"9","jcfsqt":"鲜重"}]</t>
  </si>
  <si>
    <t>耕地质量等级评价样点的年产量提取方案</t>
  </si>
  <si>
    <t>在下发数据库mdb文件的LDTJDCXX中获取CLSP字段，查找zwlx为粮食作物的CL信息之和
粮食作物的类型见备注截图</t>
  </si>
  <si>
    <t>耕地质量等级评价样点的主栽作物名称填写</t>
  </si>
  <si>
    <t>根据年产量提取的粮食作物，填写对应的粮食作物名称，如：小麦、玉米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</si>
</sst>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  <numFmt numFmtId="177" formatCode="0_ "/>
  </numFmts>
  <fonts count="39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SimSun"/>
      <charset val="134"/>
    </font>
    <font>
      <sz val="10"/>
      <color rgb="FF000000"/>
      <name val="SimSun"/>
      <charset val="134"/>
    </font>
    <font>
      <sz val="12"/>
      <color rgb="FF00000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b/>
      <sz val="16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name val="黑体"/>
      <charset val="134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2"/>
      <color rgb="FF000000"/>
      <name val="宋体"/>
      <charset val="134"/>
      <scheme val="minor"/>
    </font>
    <font>
      <vertAlign val="superscript"/>
      <sz val="12"/>
      <color rgb="FF00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7" tint="0.599993896298105"/>
        <bgColor rgb="FFC0C0C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"/>
        <bgColor rgb="FFFFFFFF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20" applyNumberFormat="0" applyAlignment="0" applyProtection="0">
      <alignment vertical="center"/>
    </xf>
    <xf numFmtId="0" fontId="25" fillId="14" borderId="21" applyNumberFormat="0" applyAlignment="0" applyProtection="0">
      <alignment vertical="center"/>
    </xf>
    <xf numFmtId="0" fontId="26" fillId="14" borderId="20" applyNumberFormat="0" applyAlignment="0" applyProtection="0">
      <alignment vertical="center"/>
    </xf>
    <xf numFmtId="0" fontId="27" fillId="15" borderId="22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>
      <alignment vertical="center"/>
    </xf>
    <xf numFmtId="49" fontId="3" fillId="0" borderId="3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5" borderId="2" xfId="0" applyNumberFormat="1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/>
    <xf numFmtId="49" fontId="6" fillId="6" borderId="2" xfId="0" applyNumberFormat="1" applyFont="1" applyFill="1" applyBorder="1" applyAlignment="1"/>
    <xf numFmtId="176" fontId="6" fillId="7" borderId="2" xfId="0" applyNumberFormat="1" applyFont="1" applyFill="1" applyBorder="1" applyAlignment="1"/>
    <xf numFmtId="176" fontId="6" fillId="6" borderId="2" xfId="0" applyNumberFormat="1" applyFont="1" applyFill="1" applyBorder="1" applyAlignment="1"/>
    <xf numFmtId="49" fontId="6" fillId="8" borderId="9" xfId="0" applyNumberFormat="1" applyFont="1" applyFill="1" applyBorder="1" applyAlignment="1"/>
    <xf numFmtId="49" fontId="6" fillId="8" borderId="2" xfId="0" applyNumberFormat="1" applyFont="1" applyFill="1" applyBorder="1" applyAlignment="1"/>
    <xf numFmtId="176" fontId="6" fillId="0" borderId="2" xfId="0" applyNumberFormat="1" applyFont="1" applyFill="1" applyBorder="1" applyAlignment="1"/>
    <xf numFmtId="49" fontId="6" fillId="9" borderId="9" xfId="0" applyNumberFormat="1" applyFont="1" applyFill="1" applyBorder="1" applyAlignment="1"/>
    <xf numFmtId="49" fontId="6" fillId="9" borderId="2" xfId="0" applyNumberFormat="1" applyFont="1" applyFill="1" applyBorder="1" applyAlignment="1"/>
    <xf numFmtId="0" fontId="6" fillId="0" borderId="0" xfId="0" applyFont="1" applyFill="1" applyAlignment="1"/>
    <xf numFmtId="0" fontId="7" fillId="0" borderId="0" xfId="0" applyFont="1" applyFill="1" applyBorder="1" applyAlignment="1">
      <alignment vertical="center"/>
    </xf>
    <xf numFmtId="177" fontId="8" fillId="0" borderId="10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justify" vertical="center"/>
    </xf>
    <xf numFmtId="0" fontId="13" fillId="0" borderId="13" xfId="0" applyFont="1" applyBorder="1" applyAlignment="1">
      <alignment horizontal="center" vertical="top"/>
    </xf>
    <xf numFmtId="0" fontId="13" fillId="0" borderId="13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0" borderId="13" xfId="0" applyFont="1" applyBorder="1" applyAlignment="1">
      <alignment horizontal="center" vertical="top"/>
    </xf>
    <xf numFmtId="0" fontId="13" fillId="0" borderId="13" xfId="0" applyFont="1" applyBorder="1" applyAlignment="1">
      <alignment horizontal="left" vertical="top" wrapText="1"/>
    </xf>
    <xf numFmtId="0" fontId="13" fillId="10" borderId="13" xfId="0" applyFont="1" applyFill="1" applyBorder="1" applyAlignment="1">
      <alignment horizontal="center" vertical="top" wrapText="1"/>
    </xf>
    <xf numFmtId="0" fontId="13" fillId="0" borderId="13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center" vertical="top" wrapText="1"/>
    </xf>
    <xf numFmtId="0" fontId="13" fillId="11" borderId="13" xfId="0" applyFont="1" applyFill="1" applyBorder="1" applyAlignment="1">
      <alignment horizontal="center" vertical="top" wrapText="1"/>
    </xf>
    <xf numFmtId="0" fontId="13" fillId="11" borderId="13" xfId="0" applyFont="1" applyFill="1" applyBorder="1" applyAlignment="1">
      <alignment horizontal="center" vertical="top" wrapText="1"/>
    </xf>
    <xf numFmtId="0" fontId="14" fillId="11" borderId="13" xfId="0" applyFont="1" applyFill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justify" vertical="center" wrapText="1"/>
    </xf>
    <xf numFmtId="0" fontId="13" fillId="11" borderId="1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justify" vertical="top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justify" vertical="center" wrapText="1"/>
    </xf>
    <xf numFmtId="0" fontId="12" fillId="0" borderId="13" xfId="0" applyFont="1" applyBorder="1" applyAlignment="1">
      <alignment horizontal="justify" vertical="center" wrapText="1"/>
    </xf>
    <xf numFmtId="0" fontId="13" fillId="0" borderId="12" xfId="0" applyFont="1" applyBorder="1" applyAlignment="1">
      <alignment horizontal="justify" vertical="top" wrapText="1"/>
    </xf>
    <xf numFmtId="0" fontId="13" fillId="0" borderId="13" xfId="0" applyFont="1" applyBorder="1" applyAlignment="1">
      <alignment horizontal="justify" vertical="top" wrapText="1"/>
    </xf>
    <xf numFmtId="0" fontId="13" fillId="0" borderId="12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03" zoomScaleNormal="103" workbookViewId="0">
      <selection activeCell="I4" sqref="I4"/>
    </sheetView>
  </sheetViews>
  <sheetFormatPr defaultColWidth="9" defaultRowHeight="14.25" outlineLevelCol="3"/>
  <cols>
    <col min="1" max="2" width="9" style="81"/>
    <col min="3" max="3" width="35.5" style="81" customWidth="1"/>
    <col min="4" max="4" width="59.625" style="81" customWidth="1"/>
    <col min="5" max="16384" width="9" style="81"/>
  </cols>
  <sheetData>
    <row r="1" ht="28.5" spans="1:4">
      <c r="A1" s="82" t="s">
        <v>0</v>
      </c>
      <c r="B1" s="82" t="s">
        <v>1</v>
      </c>
      <c r="C1" s="82" t="s">
        <v>2</v>
      </c>
      <c r="D1" s="82" t="s">
        <v>3</v>
      </c>
    </row>
    <row r="2" ht="36" customHeight="1" spans="1:4">
      <c r="A2" s="83">
        <v>1</v>
      </c>
      <c r="B2" s="84" t="s">
        <v>4</v>
      </c>
      <c r="C2" s="85" t="s">
        <v>5</v>
      </c>
      <c r="D2" s="85" t="s">
        <v>6</v>
      </c>
    </row>
    <row r="3" ht="38" customHeight="1" spans="1:4">
      <c r="A3" s="83">
        <v>2</v>
      </c>
      <c r="B3" s="84" t="s">
        <v>7</v>
      </c>
      <c r="C3" s="85" t="s">
        <v>8</v>
      </c>
      <c r="D3" s="85" t="s">
        <v>9</v>
      </c>
    </row>
    <row r="4" ht="199.5" spans="1:4">
      <c r="A4" s="83">
        <v>3</v>
      </c>
      <c r="B4" s="86"/>
      <c r="C4" s="85" t="s">
        <v>10</v>
      </c>
      <c r="D4" s="87" t="s">
        <v>11</v>
      </c>
    </row>
    <row r="5" ht="52" customHeight="1" spans="1:4">
      <c r="A5" s="83">
        <v>4</v>
      </c>
      <c r="B5" s="88" t="s">
        <v>12</v>
      </c>
      <c r="C5" s="85" t="s">
        <v>13</v>
      </c>
      <c r="D5" s="85" t="s">
        <v>14</v>
      </c>
    </row>
    <row r="6" ht="52" customHeight="1" spans="1:4">
      <c r="A6" s="83">
        <v>5</v>
      </c>
      <c r="B6" s="89"/>
      <c r="C6" s="85" t="s">
        <v>15</v>
      </c>
      <c r="D6" s="85" t="s">
        <v>16</v>
      </c>
    </row>
    <row r="7" ht="52" customHeight="1" spans="1:4">
      <c r="A7" s="83">
        <v>6</v>
      </c>
      <c r="B7" s="89"/>
      <c r="C7" s="85" t="s">
        <v>17</v>
      </c>
      <c r="D7" s="85" t="s">
        <v>18</v>
      </c>
    </row>
    <row r="8" ht="52" customHeight="1" spans="1:4">
      <c r="A8" s="83">
        <v>7</v>
      </c>
      <c r="B8" s="89"/>
      <c r="C8" s="85" t="s">
        <v>19</v>
      </c>
      <c r="D8" s="85" t="s">
        <v>20</v>
      </c>
    </row>
    <row r="9" spans="1:4">
      <c r="A9" s="83">
        <v>8</v>
      </c>
      <c r="B9" s="90"/>
      <c r="C9" s="83" t="s">
        <v>21</v>
      </c>
      <c r="D9" s="83" t="s">
        <v>22</v>
      </c>
    </row>
  </sheetData>
  <mergeCells count="2">
    <mergeCell ref="B3:B4"/>
    <mergeCell ref="B5:B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B39" sqref="B39"/>
    </sheetView>
  </sheetViews>
  <sheetFormatPr defaultColWidth="9" defaultRowHeight="14.25" outlineLevelCol="6"/>
  <cols>
    <col min="1" max="1" width="17.25" style="46" customWidth="1"/>
    <col min="2" max="2" width="62.375" style="46" customWidth="1"/>
    <col min="3" max="3" width="25.5" style="46" customWidth="1"/>
    <col min="4" max="4" width="9" style="46"/>
    <col min="5" max="5" width="20.875" style="46" customWidth="1"/>
    <col min="6" max="6" width="53.375" style="46" customWidth="1"/>
    <col min="7" max="7" width="16.25" style="46" customWidth="1"/>
    <col min="8" max="16384" width="9" style="46"/>
  </cols>
  <sheetData>
    <row r="1" ht="15" spans="1:7">
      <c r="A1" s="71" t="s">
        <v>23</v>
      </c>
      <c r="B1" s="71"/>
      <c r="C1" s="71"/>
      <c r="F1" s="72" t="s">
        <v>24</v>
      </c>
    </row>
    <row r="2" ht="15" spans="1:7">
      <c r="A2" s="63" t="s">
        <v>25</v>
      </c>
      <c r="B2" s="63" t="s">
        <v>26</v>
      </c>
      <c r="C2" s="63" t="s">
        <v>27</v>
      </c>
      <c r="E2" s="63" t="s">
        <v>25</v>
      </c>
      <c r="F2" s="63" t="s">
        <v>26</v>
      </c>
      <c r="G2" s="63" t="s">
        <v>27</v>
      </c>
    </row>
    <row r="3" ht="90.75" customHeight="1" spans="1:7">
      <c r="A3" s="55" t="s">
        <v>28</v>
      </c>
      <c r="B3" s="69" t="s">
        <v>29</v>
      </c>
      <c r="C3" s="73"/>
      <c r="E3" s="50" t="s">
        <v>28</v>
      </c>
      <c r="F3" s="69" t="s">
        <v>30</v>
      </c>
      <c r="G3" s="73"/>
    </row>
    <row r="4" ht="15" customHeight="1" spans="1:7">
      <c r="A4" s="74" t="s">
        <v>28</v>
      </c>
      <c r="B4" s="75" t="s">
        <v>31</v>
      </c>
      <c r="C4" s="76"/>
      <c r="E4" s="74" t="s">
        <v>28</v>
      </c>
      <c r="F4" s="75" t="s">
        <v>31</v>
      </c>
      <c r="G4" s="76"/>
    </row>
    <row r="5" ht="29.25" spans="1:7">
      <c r="A5" s="55" t="s">
        <v>32</v>
      </c>
      <c r="B5" s="69" t="s">
        <v>33</v>
      </c>
      <c r="C5" s="77"/>
      <c r="E5" s="50" t="s">
        <v>32</v>
      </c>
      <c r="F5" s="69" t="s">
        <v>34</v>
      </c>
      <c r="G5" s="77"/>
    </row>
    <row r="6" ht="17.25" spans="1:7">
      <c r="A6" s="50" t="s">
        <v>35</v>
      </c>
      <c r="B6" s="69" t="s">
        <v>36</v>
      </c>
      <c r="C6" s="78" t="s">
        <v>37</v>
      </c>
      <c r="E6" s="50" t="s">
        <v>35</v>
      </c>
      <c r="F6" s="69" t="s">
        <v>38</v>
      </c>
      <c r="G6" s="73"/>
    </row>
    <row r="7" ht="15" spans="1:7">
      <c r="A7" s="55" t="s">
        <v>35</v>
      </c>
      <c r="B7" s="69" t="s">
        <v>39</v>
      </c>
      <c r="C7" s="78" t="s">
        <v>40</v>
      </c>
      <c r="E7" s="50" t="s">
        <v>35</v>
      </c>
      <c r="F7" s="69" t="s">
        <v>41</v>
      </c>
      <c r="G7" s="73"/>
    </row>
    <row r="8" ht="15" spans="1:7">
      <c r="A8" s="55" t="s">
        <v>35</v>
      </c>
      <c r="B8" s="69" t="s">
        <v>42</v>
      </c>
      <c r="C8" s="73"/>
      <c r="E8" s="50" t="s">
        <v>35</v>
      </c>
      <c r="F8" s="69" t="s">
        <v>43</v>
      </c>
      <c r="G8" s="73"/>
    </row>
    <row r="9" ht="17.25" spans="1:7">
      <c r="A9" s="55" t="s">
        <v>35</v>
      </c>
      <c r="B9" s="69" t="s">
        <v>44</v>
      </c>
      <c r="C9" s="73"/>
      <c r="E9" s="50" t="s">
        <v>35</v>
      </c>
      <c r="F9" s="69" t="s">
        <v>39</v>
      </c>
      <c r="G9" s="78" t="s">
        <v>40</v>
      </c>
    </row>
    <row r="10" ht="15" customHeight="1" spans="1:7">
      <c r="A10" s="74" t="s">
        <v>28</v>
      </c>
      <c r="B10" s="75" t="s">
        <v>45</v>
      </c>
      <c r="C10" s="76"/>
      <c r="E10" s="50" t="s">
        <v>35</v>
      </c>
      <c r="F10" s="69" t="s">
        <v>42</v>
      </c>
      <c r="G10" s="73"/>
    </row>
    <row r="11" ht="31.5" spans="1:7">
      <c r="A11" s="55" t="s">
        <v>46</v>
      </c>
      <c r="B11" s="69" t="s">
        <v>47</v>
      </c>
      <c r="C11" s="79"/>
      <c r="E11" s="50" t="s">
        <v>35</v>
      </c>
      <c r="F11" s="69" t="s">
        <v>44</v>
      </c>
      <c r="G11" s="73"/>
    </row>
    <row r="12" ht="78" customHeight="1" spans="1:7">
      <c r="A12" s="55" t="s">
        <v>46</v>
      </c>
      <c r="B12" s="69" t="s">
        <v>48</v>
      </c>
      <c r="C12" s="60"/>
      <c r="E12" s="50" t="s">
        <v>35</v>
      </c>
      <c r="F12" s="69" t="s">
        <v>49</v>
      </c>
      <c r="G12" s="73"/>
    </row>
    <row r="13" ht="15" spans="1:7">
      <c r="A13" s="55" t="s">
        <v>46</v>
      </c>
      <c r="B13" s="69" t="s">
        <v>50</v>
      </c>
      <c r="C13" s="60"/>
      <c r="E13" s="74" t="s">
        <v>28</v>
      </c>
      <c r="F13" s="75" t="s">
        <v>45</v>
      </c>
      <c r="G13" s="76"/>
    </row>
    <row r="14" ht="45.75" spans="1:7">
      <c r="A14" s="55" t="s">
        <v>46</v>
      </c>
      <c r="B14" s="69" t="s">
        <v>51</v>
      </c>
      <c r="C14" s="60"/>
      <c r="E14" s="50" t="s">
        <v>46</v>
      </c>
      <c r="F14" s="69" t="s">
        <v>52</v>
      </c>
      <c r="G14" s="79"/>
    </row>
    <row r="15" ht="31.5" spans="1:7">
      <c r="A15" s="55" t="s">
        <v>46</v>
      </c>
      <c r="B15" s="69" t="s">
        <v>53</v>
      </c>
      <c r="C15" s="60"/>
      <c r="E15" s="50" t="s">
        <v>46</v>
      </c>
      <c r="F15" s="69" t="s">
        <v>54</v>
      </c>
      <c r="G15" s="60"/>
    </row>
    <row r="16" ht="29.25" spans="1:7">
      <c r="A16" s="55" t="s">
        <v>46</v>
      </c>
      <c r="B16" s="69" t="s">
        <v>55</v>
      </c>
      <c r="C16" s="60"/>
      <c r="E16" s="50" t="s">
        <v>46</v>
      </c>
      <c r="F16" s="69" t="s">
        <v>56</v>
      </c>
      <c r="G16" s="60"/>
    </row>
    <row r="17" ht="29.25" spans="1:7">
      <c r="A17" s="55" t="s">
        <v>46</v>
      </c>
      <c r="B17" s="69" t="s">
        <v>57</v>
      </c>
      <c r="C17" s="60"/>
      <c r="E17" s="50" t="s">
        <v>46</v>
      </c>
      <c r="F17" s="69" t="s">
        <v>58</v>
      </c>
      <c r="G17" s="60"/>
    </row>
    <row r="18" ht="29.25" spans="1:7">
      <c r="A18" s="55" t="s">
        <v>46</v>
      </c>
      <c r="B18" s="69" t="s">
        <v>59</v>
      </c>
      <c r="C18" s="60"/>
      <c r="E18" s="50" t="s">
        <v>46</v>
      </c>
      <c r="F18" s="69" t="s">
        <v>60</v>
      </c>
      <c r="G18" s="60"/>
    </row>
    <row r="19" ht="29.25" spans="1:7">
      <c r="A19" s="55" t="s">
        <v>46</v>
      </c>
      <c r="B19" s="69" t="s">
        <v>61</v>
      </c>
      <c r="C19" s="60"/>
      <c r="E19" s="50" t="s">
        <v>46</v>
      </c>
      <c r="F19" s="69" t="s">
        <v>62</v>
      </c>
      <c r="G19" s="60"/>
    </row>
    <row r="20" ht="29.25" spans="1:7">
      <c r="A20" s="55" t="s">
        <v>46</v>
      </c>
      <c r="B20" s="69" t="s">
        <v>63</v>
      </c>
      <c r="C20" s="60"/>
      <c r="E20" s="50" t="s">
        <v>46</v>
      </c>
      <c r="F20" s="69" t="s">
        <v>64</v>
      </c>
      <c r="G20" s="60"/>
    </row>
    <row r="21" ht="29.25" spans="1:7">
      <c r="A21" s="55" t="s">
        <v>46</v>
      </c>
      <c r="B21" s="69" t="s">
        <v>65</v>
      </c>
      <c r="C21" s="60"/>
      <c r="E21" s="50" t="s">
        <v>46</v>
      </c>
      <c r="F21" s="69" t="s">
        <v>66</v>
      </c>
      <c r="G21" s="60"/>
    </row>
    <row r="22" ht="29.25" spans="1:7">
      <c r="A22" s="55" t="s">
        <v>46</v>
      </c>
      <c r="B22" s="69" t="s">
        <v>67</v>
      </c>
      <c r="C22" s="60"/>
      <c r="E22" s="50" t="s">
        <v>46</v>
      </c>
      <c r="F22" s="69" t="s">
        <v>68</v>
      </c>
      <c r="G22" s="60"/>
    </row>
    <row r="23" ht="29.25" spans="1:7">
      <c r="A23" s="55" t="s">
        <v>46</v>
      </c>
      <c r="B23" s="69" t="s">
        <v>69</v>
      </c>
      <c r="C23" s="60"/>
      <c r="E23" s="50" t="s">
        <v>46</v>
      </c>
      <c r="F23" s="69" t="s">
        <v>70</v>
      </c>
      <c r="G23" s="60"/>
    </row>
    <row r="24" ht="29.25" spans="1:7">
      <c r="A24" s="55" t="s">
        <v>46</v>
      </c>
      <c r="B24" s="69" t="s">
        <v>71</v>
      </c>
      <c r="C24" s="60"/>
      <c r="E24" s="50" t="s">
        <v>46</v>
      </c>
      <c r="F24" s="69" t="s">
        <v>72</v>
      </c>
      <c r="G24" s="60"/>
    </row>
    <row r="25" ht="29.25" spans="1:7">
      <c r="A25" s="55" t="s">
        <v>46</v>
      </c>
      <c r="B25" s="69" t="s">
        <v>73</v>
      </c>
      <c r="C25" s="60"/>
      <c r="E25" s="50" t="s">
        <v>46</v>
      </c>
      <c r="F25" s="69" t="s">
        <v>74</v>
      </c>
      <c r="G25" s="60"/>
    </row>
    <row r="26" ht="29.25" spans="1:7">
      <c r="A26" s="55" t="s">
        <v>46</v>
      </c>
      <c r="B26" s="69" t="s">
        <v>75</v>
      </c>
      <c r="C26" s="60"/>
      <c r="E26" s="50" t="s">
        <v>46</v>
      </c>
      <c r="F26" s="69" t="s">
        <v>76</v>
      </c>
      <c r="G26" s="60"/>
    </row>
    <row r="27" ht="29.25" spans="1:7">
      <c r="A27" s="55" t="s">
        <v>46</v>
      </c>
      <c r="B27" s="69" t="s">
        <v>77</v>
      </c>
      <c r="C27" s="60"/>
      <c r="E27" s="50" t="s">
        <v>46</v>
      </c>
      <c r="F27" s="69" t="s">
        <v>78</v>
      </c>
      <c r="G27" s="60"/>
    </row>
    <row r="28" ht="15" customHeight="1" spans="1:7">
      <c r="A28" s="74" t="s">
        <v>28</v>
      </c>
      <c r="B28" s="75" t="s">
        <v>79</v>
      </c>
      <c r="C28" s="76"/>
      <c r="E28" s="50" t="s">
        <v>46</v>
      </c>
      <c r="F28" s="69" t="s">
        <v>80</v>
      </c>
      <c r="G28" s="60"/>
    </row>
    <row r="29" ht="31.5" spans="1:7">
      <c r="A29" s="55" t="s">
        <v>81</v>
      </c>
      <c r="B29" s="69" t="s">
        <v>82</v>
      </c>
      <c r="C29" s="79"/>
      <c r="E29" s="50" t="s">
        <v>46</v>
      </c>
      <c r="F29" s="69" t="s">
        <v>83</v>
      </c>
      <c r="G29" s="60"/>
    </row>
    <row r="30" ht="103.5" customHeight="1" spans="1:7">
      <c r="A30" s="55" t="s">
        <v>81</v>
      </c>
      <c r="B30" s="69" t="s">
        <v>84</v>
      </c>
      <c r="C30" s="60"/>
      <c r="E30" s="50" t="s">
        <v>46</v>
      </c>
      <c r="F30" s="69" t="s">
        <v>85</v>
      </c>
      <c r="G30" s="60"/>
    </row>
    <row r="31" ht="15" customHeight="1" spans="1:7">
      <c r="A31" s="57" t="s">
        <v>86</v>
      </c>
      <c r="B31" s="58"/>
      <c r="C31" s="58"/>
      <c r="E31" s="74" t="s">
        <v>28</v>
      </c>
      <c r="F31" s="75" t="s">
        <v>79</v>
      </c>
      <c r="G31" s="76"/>
    </row>
    <row r="32" ht="31.5" spans="1:7">
      <c r="E32" s="50" t="s">
        <v>81</v>
      </c>
      <c r="F32" s="69" t="s">
        <v>87</v>
      </c>
      <c r="G32" s="79"/>
    </row>
    <row r="33" ht="31.5" spans="5:7">
      <c r="E33" s="50" t="s">
        <v>81</v>
      </c>
      <c r="F33" s="69" t="s">
        <v>88</v>
      </c>
      <c r="G33" s="60"/>
    </row>
    <row r="34" ht="15" spans="5:7">
      <c r="E34" s="74" t="s">
        <v>28</v>
      </c>
      <c r="F34" s="75" t="s">
        <v>89</v>
      </c>
      <c r="G34" s="80"/>
    </row>
    <row r="35" ht="15" spans="5:7">
      <c r="E35" s="50" t="s">
        <v>81</v>
      </c>
      <c r="F35" s="69" t="s">
        <v>90</v>
      </c>
      <c r="G35" s="60"/>
    </row>
    <row r="36" ht="15" spans="5:7">
      <c r="E36" s="50" t="s">
        <v>81</v>
      </c>
      <c r="F36" s="69" t="s">
        <v>91</v>
      </c>
      <c r="G36" s="60"/>
    </row>
    <row r="37" ht="39.75" customHeight="1" spans="5:7">
      <c r="E37" s="50" t="s">
        <v>81</v>
      </c>
      <c r="F37" s="69" t="s">
        <v>92</v>
      </c>
      <c r="G37" s="60"/>
    </row>
    <row r="38" ht="15" spans="5:7">
      <c r="E38" s="57" t="s">
        <v>93</v>
      </c>
      <c r="F38" s="58"/>
      <c r="G38" s="58"/>
    </row>
  </sheetData>
  <mergeCells count="9">
    <mergeCell ref="A1:C1"/>
    <mergeCell ref="B4:C4"/>
    <mergeCell ref="F4:G4"/>
    <mergeCell ref="B10:C10"/>
    <mergeCell ref="F13:G13"/>
    <mergeCell ref="B28:C28"/>
    <mergeCell ref="A31:C31"/>
    <mergeCell ref="F31:G31"/>
    <mergeCell ref="E38:G3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34"/>
  <sheetViews>
    <sheetView workbookViewId="0">
      <selection activeCell="C18" sqref="C18"/>
    </sheetView>
  </sheetViews>
  <sheetFormatPr defaultColWidth="9" defaultRowHeight="14.25"/>
  <cols>
    <col min="1" max="2" width="9" style="46"/>
    <col min="3" max="3" width="20.375" style="46" customWidth="1"/>
    <col min="4" max="4" width="35.25" style="46" customWidth="1"/>
    <col min="5" max="7" width="9" style="46"/>
    <col min="8" max="8" width="22.125" style="46" customWidth="1"/>
    <col min="9" max="16384" width="9" style="46"/>
  </cols>
  <sheetData>
    <row r="1" ht="15" spans="2:8">
      <c r="B1" s="47" t="s">
        <v>94</v>
      </c>
      <c r="C1" s="47"/>
      <c r="D1" s="47"/>
      <c r="E1" s="47"/>
      <c r="F1" s="47"/>
      <c r="G1" s="47"/>
      <c r="H1" s="47"/>
    </row>
    <row r="2" ht="29.25" spans="2:8">
      <c r="B2" s="48" t="s">
        <v>0</v>
      </c>
      <c r="C2" s="48" t="s">
        <v>95</v>
      </c>
      <c r="D2" s="48" t="s">
        <v>96</v>
      </c>
      <c r="E2" s="48" t="s">
        <v>97</v>
      </c>
      <c r="F2" s="48" t="s">
        <v>98</v>
      </c>
      <c r="G2" s="48" t="s">
        <v>99</v>
      </c>
      <c r="H2" s="48" t="s">
        <v>27</v>
      </c>
    </row>
    <row r="3" ht="15" spans="2:8">
      <c r="B3" s="49">
        <v>1</v>
      </c>
      <c r="C3" s="50" t="s">
        <v>100</v>
      </c>
      <c r="D3" s="50" t="s">
        <v>0</v>
      </c>
      <c r="E3" s="51" t="s">
        <v>101</v>
      </c>
      <c r="F3" s="52">
        <v>20</v>
      </c>
      <c r="G3" s="52"/>
      <c r="H3" s="52"/>
    </row>
    <row r="4" ht="15" spans="2:8">
      <c r="B4" s="49">
        <v>2</v>
      </c>
      <c r="C4" s="50" t="s">
        <v>102</v>
      </c>
      <c r="D4" s="50" t="s">
        <v>103</v>
      </c>
      <c r="E4" s="51" t="s">
        <v>101</v>
      </c>
      <c r="F4" s="52">
        <v>60</v>
      </c>
      <c r="G4" s="52"/>
      <c r="H4" s="52"/>
    </row>
    <row r="5" ht="15" spans="2:8">
      <c r="B5" s="49">
        <v>3</v>
      </c>
      <c r="C5" s="50" t="s">
        <v>104</v>
      </c>
      <c r="D5" s="50" t="s">
        <v>105</v>
      </c>
      <c r="E5" s="51" t="s">
        <v>101</v>
      </c>
      <c r="F5" s="52">
        <v>60</v>
      </c>
      <c r="G5" s="52"/>
      <c r="H5" s="52"/>
    </row>
    <row r="6" ht="15" spans="2:8">
      <c r="B6" s="49">
        <v>4</v>
      </c>
      <c r="C6" s="50" t="s">
        <v>106</v>
      </c>
      <c r="D6" s="50" t="s">
        <v>107</v>
      </c>
      <c r="E6" s="51" t="s">
        <v>101</v>
      </c>
      <c r="F6" s="52">
        <v>60</v>
      </c>
      <c r="G6" s="52"/>
      <c r="H6" s="52"/>
    </row>
    <row r="7" ht="15" spans="2:8">
      <c r="B7" s="49">
        <v>5</v>
      </c>
      <c r="C7" s="50" t="s">
        <v>108</v>
      </c>
      <c r="D7" s="50" t="s">
        <v>109</v>
      </c>
      <c r="E7" s="51" t="s">
        <v>101</v>
      </c>
      <c r="F7" s="52">
        <v>60</v>
      </c>
      <c r="G7" s="52"/>
      <c r="H7" s="52"/>
    </row>
    <row r="8" ht="29.25" spans="2:8">
      <c r="B8" s="49">
        <v>6</v>
      </c>
      <c r="C8" s="50" t="s">
        <v>110</v>
      </c>
      <c r="D8" s="50" t="s">
        <v>111</v>
      </c>
      <c r="E8" s="51" t="s">
        <v>101</v>
      </c>
      <c r="F8" s="52">
        <v>60</v>
      </c>
      <c r="G8" s="52"/>
      <c r="H8" s="52"/>
    </row>
    <row r="10" spans="2:8">
      <c r="B10" s="53" t="s">
        <v>112</v>
      </c>
    </row>
    <row r="12" ht="15" spans="2:8">
      <c r="B12" s="47" t="s">
        <v>113</v>
      </c>
      <c r="C12" s="47"/>
      <c r="D12" s="47"/>
      <c r="E12" s="47"/>
      <c r="F12" s="47"/>
      <c r="G12" s="47"/>
      <c r="H12" s="47"/>
    </row>
    <row r="13" ht="29.25" spans="2:8">
      <c r="B13" s="48" t="s">
        <v>0</v>
      </c>
      <c r="C13" s="48" t="s">
        <v>95</v>
      </c>
      <c r="D13" s="48" t="s">
        <v>96</v>
      </c>
      <c r="E13" s="48" t="s">
        <v>97</v>
      </c>
      <c r="F13" s="48" t="s">
        <v>98</v>
      </c>
      <c r="G13" s="48" t="s">
        <v>99</v>
      </c>
      <c r="H13" s="48" t="s">
        <v>27</v>
      </c>
    </row>
    <row r="14" ht="15" spans="2:8">
      <c r="B14" s="54">
        <v>1</v>
      </c>
      <c r="C14" s="55" t="s">
        <v>114</v>
      </c>
      <c r="D14" s="55" t="s">
        <v>115</v>
      </c>
      <c r="E14" s="55" t="s">
        <v>101</v>
      </c>
      <c r="F14" s="56">
        <v>16</v>
      </c>
      <c r="G14" s="56"/>
      <c r="H14" s="57" t="s">
        <v>116</v>
      </c>
    </row>
    <row r="15" ht="29.25" spans="2:8">
      <c r="B15" s="54">
        <v>2</v>
      </c>
      <c r="C15" s="55" t="s">
        <v>117</v>
      </c>
      <c r="D15" s="55" t="s">
        <v>118</v>
      </c>
      <c r="E15" s="55" t="s">
        <v>101</v>
      </c>
      <c r="F15" s="56">
        <v>12</v>
      </c>
      <c r="G15" s="56"/>
      <c r="H15" s="57" t="s">
        <v>119</v>
      </c>
    </row>
    <row r="16" ht="29.25" spans="2:8">
      <c r="B16" s="54">
        <v>3</v>
      </c>
      <c r="C16" s="55" t="s">
        <v>120</v>
      </c>
      <c r="D16" s="55" t="s">
        <v>121</v>
      </c>
      <c r="E16" s="55" t="s">
        <v>101</v>
      </c>
      <c r="F16" s="56">
        <v>60</v>
      </c>
      <c r="G16" s="56"/>
      <c r="H16" s="58"/>
    </row>
    <row r="17" ht="15" spans="2:8">
      <c r="B17" s="54">
        <v>4</v>
      </c>
      <c r="C17" s="55" t="s">
        <v>122</v>
      </c>
      <c r="D17" s="55" t="s">
        <v>123</v>
      </c>
      <c r="E17" s="55" t="s">
        <v>124</v>
      </c>
      <c r="F17" s="56">
        <v>9</v>
      </c>
      <c r="G17" s="56">
        <v>6</v>
      </c>
      <c r="H17" s="58"/>
    </row>
    <row r="18" ht="15" spans="2:8">
      <c r="B18" s="54">
        <v>5</v>
      </c>
      <c r="C18" s="55" t="s">
        <v>125</v>
      </c>
      <c r="D18" s="55" t="s">
        <v>126</v>
      </c>
      <c r="E18" s="55" t="s">
        <v>124</v>
      </c>
      <c r="F18" s="56">
        <v>8</v>
      </c>
      <c r="G18" s="56">
        <v>6</v>
      </c>
      <c r="H18" s="58"/>
    </row>
    <row r="19" ht="15" spans="2:8">
      <c r="B19" s="54">
        <v>6</v>
      </c>
      <c r="C19" s="55" t="s">
        <v>102</v>
      </c>
      <c r="D19" s="55" t="s">
        <v>103</v>
      </c>
      <c r="E19" s="55" t="s">
        <v>101</v>
      </c>
      <c r="F19" s="56">
        <v>60</v>
      </c>
      <c r="G19" s="54"/>
      <c r="H19" s="57" t="s">
        <v>127</v>
      </c>
    </row>
    <row r="20" ht="15" spans="2:8">
      <c r="B20" s="54">
        <v>7</v>
      </c>
      <c r="C20" s="55" t="s">
        <v>104</v>
      </c>
      <c r="D20" s="55" t="s">
        <v>105</v>
      </c>
      <c r="E20" s="55" t="s">
        <v>101</v>
      </c>
      <c r="F20" s="56">
        <v>60</v>
      </c>
      <c r="G20" s="54"/>
      <c r="H20" s="57" t="s">
        <v>127</v>
      </c>
    </row>
    <row r="21" ht="15" spans="2:8">
      <c r="B21" s="54">
        <v>8</v>
      </c>
      <c r="C21" s="55" t="s">
        <v>106</v>
      </c>
      <c r="D21" s="55" t="s">
        <v>107</v>
      </c>
      <c r="E21" s="55" t="s">
        <v>101</v>
      </c>
      <c r="F21" s="56">
        <v>60</v>
      </c>
      <c r="G21" s="54"/>
      <c r="H21" s="57" t="s">
        <v>127</v>
      </c>
    </row>
    <row r="22" ht="15" spans="2:8">
      <c r="B22" s="54">
        <v>9</v>
      </c>
      <c r="C22" s="55" t="s">
        <v>108</v>
      </c>
      <c r="D22" s="55" t="s">
        <v>109</v>
      </c>
      <c r="E22" s="55" t="s">
        <v>101</v>
      </c>
      <c r="F22" s="56">
        <v>60</v>
      </c>
      <c r="G22" s="54"/>
      <c r="H22" s="57" t="s">
        <v>127</v>
      </c>
    </row>
    <row r="23" ht="15" spans="2:8">
      <c r="B23" s="54">
        <v>10</v>
      </c>
      <c r="C23" s="55" t="s">
        <v>128</v>
      </c>
      <c r="D23" s="55" t="s">
        <v>129</v>
      </c>
      <c r="E23" s="55" t="s">
        <v>124</v>
      </c>
      <c r="F23" s="56">
        <v>8</v>
      </c>
      <c r="G23" s="54">
        <v>2</v>
      </c>
      <c r="H23" s="58"/>
    </row>
    <row r="24" ht="15" spans="2:8">
      <c r="B24" s="54">
        <v>11</v>
      </c>
      <c r="C24" s="55" t="s">
        <v>130</v>
      </c>
      <c r="D24" s="55" t="s">
        <v>131</v>
      </c>
      <c r="E24" s="55" t="s">
        <v>101</v>
      </c>
      <c r="F24" s="56">
        <v>6</v>
      </c>
      <c r="G24" s="56"/>
      <c r="H24" s="58"/>
    </row>
    <row r="25" ht="15" spans="2:8">
      <c r="B25" s="54">
        <v>12</v>
      </c>
      <c r="C25" s="55" t="s">
        <v>132</v>
      </c>
      <c r="D25" s="55" t="s">
        <v>133</v>
      </c>
      <c r="E25" s="55" t="s">
        <v>101</v>
      </c>
      <c r="F25" s="56">
        <v>6</v>
      </c>
      <c r="G25" s="56"/>
      <c r="H25" s="58"/>
    </row>
    <row r="26" ht="15" spans="2:8">
      <c r="B26" s="54">
        <v>13</v>
      </c>
      <c r="C26" s="55" t="s">
        <v>134</v>
      </c>
      <c r="D26" s="55" t="s">
        <v>135</v>
      </c>
      <c r="E26" s="55" t="s">
        <v>101</v>
      </c>
      <c r="F26" s="56">
        <v>6</v>
      </c>
      <c r="G26" s="56"/>
      <c r="H26" s="58"/>
    </row>
    <row r="27" ht="15" spans="2:8">
      <c r="B27" s="54">
        <v>14</v>
      </c>
      <c r="C27" s="55" t="s">
        <v>136</v>
      </c>
      <c r="D27" s="55" t="s">
        <v>137</v>
      </c>
      <c r="E27" s="55" t="s">
        <v>101</v>
      </c>
      <c r="F27" s="56">
        <v>6</v>
      </c>
      <c r="G27" s="56"/>
      <c r="H27" s="58"/>
    </row>
    <row r="28" ht="15" spans="2:8">
      <c r="B28" s="54">
        <v>15</v>
      </c>
      <c r="C28" s="55" t="s">
        <v>138</v>
      </c>
      <c r="D28" s="55" t="s">
        <v>139</v>
      </c>
      <c r="E28" s="55" t="s">
        <v>101</v>
      </c>
      <c r="F28" s="56">
        <v>120</v>
      </c>
      <c r="G28" s="56"/>
      <c r="H28" s="58"/>
    </row>
    <row r="29" ht="15" spans="2:8">
      <c r="B29" s="54">
        <v>16</v>
      </c>
      <c r="C29" s="55" t="s">
        <v>140</v>
      </c>
      <c r="D29" s="55" t="s">
        <v>141</v>
      </c>
      <c r="E29" s="55" t="s">
        <v>101</v>
      </c>
      <c r="F29" s="56">
        <v>60</v>
      </c>
      <c r="G29" s="56"/>
      <c r="H29" s="58"/>
    </row>
    <row r="30" ht="29.25" spans="2:8">
      <c r="B30" s="54">
        <v>17</v>
      </c>
      <c r="C30" s="55" t="s">
        <v>142</v>
      </c>
      <c r="D30" s="55" t="s">
        <v>143</v>
      </c>
      <c r="E30" s="55" t="s">
        <v>101</v>
      </c>
      <c r="F30" s="56">
        <v>6</v>
      </c>
      <c r="G30" s="56"/>
      <c r="H30" s="58"/>
    </row>
    <row r="31" ht="29.25" spans="2:8">
      <c r="B31" s="54">
        <v>18</v>
      </c>
      <c r="C31" s="55" t="s">
        <v>144</v>
      </c>
      <c r="D31" s="55" t="s">
        <v>145</v>
      </c>
      <c r="E31" s="55" t="s">
        <v>146</v>
      </c>
      <c r="F31" s="56">
        <v>3</v>
      </c>
      <c r="G31" s="56"/>
      <c r="H31" s="58"/>
    </row>
    <row r="32" ht="15" spans="2:8">
      <c r="B32" s="54">
        <v>19</v>
      </c>
      <c r="C32" s="55" t="s">
        <v>147</v>
      </c>
      <c r="D32" s="55" t="s">
        <v>148</v>
      </c>
      <c r="E32" s="55" t="s">
        <v>101</v>
      </c>
      <c r="F32" s="56">
        <v>6</v>
      </c>
      <c r="G32" s="56"/>
      <c r="H32" s="58"/>
    </row>
    <row r="33" ht="15" spans="2:8">
      <c r="B33" s="54">
        <v>20</v>
      </c>
      <c r="C33" s="55" t="s">
        <v>149</v>
      </c>
      <c r="D33" s="55" t="s">
        <v>150</v>
      </c>
      <c r="E33" s="55" t="s">
        <v>101</v>
      </c>
      <c r="F33" s="56">
        <v>6</v>
      </c>
      <c r="G33" s="56"/>
      <c r="H33" s="58"/>
    </row>
    <row r="34" ht="29.25" spans="2:8">
      <c r="B34" s="54">
        <v>23</v>
      </c>
      <c r="C34" s="55" t="s">
        <v>151</v>
      </c>
      <c r="D34" s="55" t="s">
        <v>152</v>
      </c>
      <c r="E34" s="55" t="s">
        <v>124</v>
      </c>
      <c r="F34" s="56">
        <v>8</v>
      </c>
      <c r="G34" s="56">
        <v>2</v>
      </c>
      <c r="H34" s="58"/>
    </row>
    <row r="35" ht="15" spans="2:8">
      <c r="B35" s="54">
        <v>24</v>
      </c>
      <c r="C35" s="55" t="s">
        <v>153</v>
      </c>
      <c r="D35" s="59" t="s">
        <v>154</v>
      </c>
      <c r="E35" s="55" t="s">
        <v>124</v>
      </c>
      <c r="F35" s="56">
        <v>8</v>
      </c>
      <c r="G35" s="54">
        <v>2</v>
      </c>
      <c r="H35" s="58"/>
    </row>
    <row r="36" ht="15" spans="2:8">
      <c r="B36" s="54">
        <v>25</v>
      </c>
      <c r="C36" s="55" t="s">
        <v>155</v>
      </c>
      <c r="D36" s="59" t="s">
        <v>156</v>
      </c>
      <c r="E36" s="55" t="s">
        <v>124</v>
      </c>
      <c r="F36" s="56">
        <v>8</v>
      </c>
      <c r="G36" s="54">
        <v>2</v>
      </c>
      <c r="H36" s="58"/>
    </row>
    <row r="37" ht="15" spans="2:8">
      <c r="B37" s="54">
        <v>26</v>
      </c>
      <c r="C37" s="55" t="s">
        <v>157</v>
      </c>
      <c r="D37" s="59" t="s">
        <v>158</v>
      </c>
      <c r="E37" s="55" t="s">
        <v>124</v>
      </c>
      <c r="F37" s="56">
        <v>8</v>
      </c>
      <c r="G37" s="54">
        <v>2</v>
      </c>
      <c r="H37" s="58"/>
    </row>
    <row r="38" ht="15" spans="2:8">
      <c r="B38" s="54">
        <v>27</v>
      </c>
      <c r="C38" s="55" t="s">
        <v>159</v>
      </c>
      <c r="D38" s="59" t="s">
        <v>160</v>
      </c>
      <c r="E38" s="55" t="s">
        <v>124</v>
      </c>
      <c r="F38" s="56">
        <v>8</v>
      </c>
      <c r="G38" s="54">
        <v>2</v>
      </c>
      <c r="H38" s="58"/>
    </row>
    <row r="39" ht="15" spans="2:8">
      <c r="B39" s="54">
        <v>28</v>
      </c>
      <c r="C39" s="55" t="s">
        <v>161</v>
      </c>
      <c r="D39" s="59" t="s">
        <v>162</v>
      </c>
      <c r="E39" s="59" t="s">
        <v>124</v>
      </c>
      <c r="F39" s="54">
        <v>8</v>
      </c>
      <c r="G39" s="54">
        <v>2</v>
      </c>
      <c r="H39" s="58"/>
    </row>
    <row r="40" ht="15" spans="2:8">
      <c r="B40" s="54">
        <v>29</v>
      </c>
      <c r="C40" s="55" t="s">
        <v>163</v>
      </c>
      <c r="D40" s="59" t="s">
        <v>164</v>
      </c>
      <c r="E40" s="59" t="s">
        <v>124</v>
      </c>
      <c r="F40" s="54">
        <v>6</v>
      </c>
      <c r="G40" s="54">
        <v>2</v>
      </c>
      <c r="H40" s="58"/>
    </row>
    <row r="41" ht="15" spans="2:8">
      <c r="B41" s="54">
        <v>30</v>
      </c>
      <c r="C41" s="55" t="s">
        <v>165</v>
      </c>
      <c r="D41" s="59" t="s">
        <v>166</v>
      </c>
      <c r="E41" s="59" t="s">
        <v>124</v>
      </c>
      <c r="F41" s="54">
        <v>6</v>
      </c>
      <c r="G41" s="54">
        <v>2</v>
      </c>
      <c r="H41" s="58"/>
    </row>
    <row r="42" ht="15" spans="2:8">
      <c r="B42" s="54">
        <v>31</v>
      </c>
      <c r="C42" s="55" t="s">
        <v>167</v>
      </c>
      <c r="D42" s="59" t="s">
        <v>168</v>
      </c>
      <c r="E42" s="59" t="s">
        <v>124</v>
      </c>
      <c r="F42" s="54">
        <v>6</v>
      </c>
      <c r="G42" s="54">
        <v>2</v>
      </c>
      <c r="H42" s="58"/>
    </row>
    <row r="43" ht="15" spans="2:8">
      <c r="B43" s="54">
        <v>32</v>
      </c>
      <c r="C43" s="55" t="s">
        <v>169</v>
      </c>
      <c r="D43" s="59" t="s">
        <v>170</v>
      </c>
      <c r="E43" s="59" t="s">
        <v>124</v>
      </c>
      <c r="F43" s="54">
        <v>6</v>
      </c>
      <c r="G43" s="54">
        <v>2</v>
      </c>
      <c r="H43" s="58"/>
    </row>
    <row r="44" ht="15" spans="2:8">
      <c r="B44" s="54">
        <v>33</v>
      </c>
      <c r="C44" s="55" t="s">
        <v>171</v>
      </c>
      <c r="D44" s="59" t="s">
        <v>172</v>
      </c>
      <c r="E44" s="59" t="s">
        <v>101</v>
      </c>
      <c r="F44" s="54">
        <v>100</v>
      </c>
      <c r="G44" s="54"/>
      <c r="H44" s="58"/>
    </row>
    <row r="45" ht="15" spans="2:8">
      <c r="B45" s="54">
        <v>34</v>
      </c>
      <c r="C45" s="55" t="s">
        <v>173</v>
      </c>
      <c r="D45" s="59" t="s">
        <v>174</v>
      </c>
      <c r="E45" s="59" t="s">
        <v>124</v>
      </c>
      <c r="F45" s="54">
        <v>4</v>
      </c>
      <c r="G45" s="54">
        <v>1</v>
      </c>
      <c r="H45" s="58"/>
    </row>
    <row r="46" ht="15" spans="2:8">
      <c r="B46" s="54">
        <v>35</v>
      </c>
      <c r="C46" s="55" t="s">
        <v>175</v>
      </c>
      <c r="D46" s="59" t="s">
        <v>176</v>
      </c>
      <c r="E46" s="59" t="s">
        <v>124</v>
      </c>
      <c r="F46" s="54">
        <v>4</v>
      </c>
      <c r="G46" s="54">
        <v>1</v>
      </c>
      <c r="H46" s="58"/>
    </row>
    <row r="47" ht="15" spans="2:8">
      <c r="B47" s="54">
        <v>36</v>
      </c>
      <c r="C47" s="55" t="s">
        <v>177</v>
      </c>
      <c r="D47" s="59" t="s">
        <v>178</v>
      </c>
      <c r="E47" s="59" t="s">
        <v>124</v>
      </c>
      <c r="F47" s="54">
        <v>4</v>
      </c>
      <c r="G47" s="54">
        <v>1</v>
      </c>
      <c r="H47" s="58"/>
    </row>
    <row r="48" ht="15" spans="2:8">
      <c r="B48" s="54">
        <v>37</v>
      </c>
      <c r="C48" s="55" t="s">
        <v>179</v>
      </c>
      <c r="D48" s="59" t="s">
        <v>180</v>
      </c>
      <c r="E48" s="59" t="s">
        <v>124</v>
      </c>
      <c r="F48" s="54">
        <v>4</v>
      </c>
      <c r="G48" s="54">
        <v>1</v>
      </c>
      <c r="H48" s="58"/>
    </row>
    <row r="49" ht="15" spans="2:8">
      <c r="B49" s="54">
        <v>38</v>
      </c>
      <c r="C49" s="55" t="s">
        <v>181</v>
      </c>
      <c r="D49" s="59" t="s">
        <v>182</v>
      </c>
      <c r="E49" s="59" t="s">
        <v>124</v>
      </c>
      <c r="F49" s="54">
        <v>4</v>
      </c>
      <c r="G49" s="54">
        <v>1</v>
      </c>
      <c r="H49" s="58"/>
    </row>
    <row r="50" ht="15" spans="2:8">
      <c r="B50" s="54">
        <v>39</v>
      </c>
      <c r="C50" s="55" t="s">
        <v>183</v>
      </c>
      <c r="D50" s="59" t="s">
        <v>184</v>
      </c>
      <c r="E50" s="59" t="s">
        <v>124</v>
      </c>
      <c r="F50" s="54">
        <v>4</v>
      </c>
      <c r="G50" s="54">
        <v>1</v>
      </c>
      <c r="H50" s="58"/>
    </row>
    <row r="51" ht="15" spans="2:8">
      <c r="B51" s="54">
        <v>40</v>
      </c>
      <c r="C51" s="55" t="s">
        <v>185</v>
      </c>
      <c r="D51" s="59" t="s">
        <v>186</v>
      </c>
      <c r="E51" s="59" t="s">
        <v>124</v>
      </c>
      <c r="F51" s="54">
        <v>4</v>
      </c>
      <c r="G51" s="54">
        <v>1</v>
      </c>
      <c r="H51" s="58"/>
    </row>
    <row r="52" ht="15" spans="2:8">
      <c r="B52" s="54">
        <v>41</v>
      </c>
      <c r="C52" s="55" t="s">
        <v>187</v>
      </c>
      <c r="D52" s="59" t="s">
        <v>188</v>
      </c>
      <c r="E52" s="59" t="s">
        <v>124</v>
      </c>
      <c r="F52" s="54">
        <v>8</v>
      </c>
      <c r="G52" s="54">
        <v>3</v>
      </c>
      <c r="H52" s="58"/>
    </row>
    <row r="53" ht="15" spans="2:8">
      <c r="B53" s="54">
        <v>42</v>
      </c>
      <c r="C53" s="55" t="s">
        <v>189</v>
      </c>
      <c r="D53" s="59" t="s">
        <v>190</v>
      </c>
      <c r="E53" s="59" t="s">
        <v>124</v>
      </c>
      <c r="F53" s="54">
        <v>8</v>
      </c>
      <c r="G53" s="54">
        <v>3</v>
      </c>
      <c r="H53" s="58"/>
    </row>
    <row r="54" ht="15" spans="2:8">
      <c r="B54" s="54">
        <v>43</v>
      </c>
      <c r="C54" s="55" t="s">
        <v>191</v>
      </c>
      <c r="D54" s="59" t="s">
        <v>192</v>
      </c>
      <c r="E54" s="59" t="s">
        <v>124</v>
      </c>
      <c r="F54" s="54">
        <v>8</v>
      </c>
      <c r="G54" s="54">
        <v>3</v>
      </c>
      <c r="H54" s="58"/>
    </row>
    <row r="55" ht="15" spans="2:8">
      <c r="B55" s="54">
        <v>44</v>
      </c>
      <c r="C55" s="55" t="s">
        <v>193</v>
      </c>
      <c r="D55" s="59" t="s">
        <v>194</v>
      </c>
      <c r="E55" s="59" t="s">
        <v>124</v>
      </c>
      <c r="F55" s="54">
        <v>8</v>
      </c>
      <c r="G55" s="54">
        <v>3</v>
      </c>
      <c r="H55" s="58"/>
    </row>
    <row r="56" ht="15" spans="2:8">
      <c r="B56" s="54">
        <v>45</v>
      </c>
      <c r="C56" s="55" t="s">
        <v>195</v>
      </c>
      <c r="D56" s="59" t="s">
        <v>196</v>
      </c>
      <c r="E56" s="59" t="s">
        <v>124</v>
      </c>
      <c r="F56" s="54">
        <v>8</v>
      </c>
      <c r="G56" s="54">
        <v>3</v>
      </c>
      <c r="H56" s="58"/>
    </row>
    <row r="57" ht="15" spans="2:8">
      <c r="B57" s="54">
        <v>46</v>
      </c>
      <c r="C57" s="55" t="s">
        <v>197</v>
      </c>
      <c r="D57" s="59" t="s">
        <v>198</v>
      </c>
      <c r="E57" s="59" t="s">
        <v>124</v>
      </c>
      <c r="F57" s="54">
        <v>8</v>
      </c>
      <c r="G57" s="54">
        <v>3</v>
      </c>
      <c r="H57" s="58"/>
    </row>
    <row r="58" ht="15" spans="2:8">
      <c r="B58" s="54">
        <v>47</v>
      </c>
      <c r="C58" s="55" t="s">
        <v>199</v>
      </c>
      <c r="D58" s="55" t="s">
        <v>200</v>
      </c>
      <c r="E58" s="59" t="s">
        <v>124</v>
      </c>
      <c r="F58" s="54">
        <v>8</v>
      </c>
      <c r="G58" s="54">
        <v>3</v>
      </c>
      <c r="H58" s="58"/>
    </row>
    <row r="59" ht="15" spans="2:8">
      <c r="B59" s="54">
        <v>48</v>
      </c>
      <c r="C59" s="55" t="s">
        <v>201</v>
      </c>
      <c r="D59" s="55" t="s">
        <v>202</v>
      </c>
      <c r="E59" s="59" t="s">
        <v>124</v>
      </c>
      <c r="F59" s="54">
        <v>8</v>
      </c>
      <c r="G59" s="54">
        <v>3</v>
      </c>
      <c r="H59" s="58"/>
    </row>
    <row r="60" ht="15" spans="2:8">
      <c r="B60" s="54">
        <v>49</v>
      </c>
      <c r="C60" s="55" t="s">
        <v>203</v>
      </c>
      <c r="D60" s="55" t="s">
        <v>204</v>
      </c>
      <c r="E60" s="59" t="s">
        <v>124</v>
      </c>
      <c r="F60" s="54">
        <v>8</v>
      </c>
      <c r="G60" s="54">
        <v>3</v>
      </c>
      <c r="H60" s="58"/>
    </row>
    <row r="61" ht="15" spans="2:8">
      <c r="B61" s="54">
        <v>50</v>
      </c>
      <c r="C61" s="55" t="s">
        <v>205</v>
      </c>
      <c r="D61" s="55" t="s">
        <v>206</v>
      </c>
      <c r="E61" s="59" t="s">
        <v>124</v>
      </c>
      <c r="F61" s="54">
        <v>8</v>
      </c>
      <c r="G61" s="54">
        <v>3</v>
      </c>
      <c r="H61" s="58"/>
    </row>
    <row r="62" ht="15" spans="2:8">
      <c r="B62" s="54">
        <v>51</v>
      </c>
      <c r="C62" s="55" t="s">
        <v>207</v>
      </c>
      <c r="D62" s="55" t="s">
        <v>208</v>
      </c>
      <c r="E62" s="59" t="s">
        <v>124</v>
      </c>
      <c r="F62" s="54">
        <v>8</v>
      </c>
      <c r="G62" s="54">
        <v>3</v>
      </c>
      <c r="H62" s="58"/>
    </row>
    <row r="63" ht="15" spans="2:8">
      <c r="B63" s="54">
        <v>52</v>
      </c>
      <c r="C63" s="55" t="s">
        <v>209</v>
      </c>
      <c r="D63" s="55" t="s">
        <v>210</v>
      </c>
      <c r="E63" s="59" t="s">
        <v>124</v>
      </c>
      <c r="F63" s="54">
        <v>8</v>
      </c>
      <c r="G63" s="54">
        <v>3</v>
      </c>
      <c r="H63" s="58"/>
    </row>
    <row r="64" ht="15" spans="2:8">
      <c r="B64" s="54">
        <v>53</v>
      </c>
      <c r="C64" s="55" t="s">
        <v>211</v>
      </c>
      <c r="D64" s="55" t="s">
        <v>212</v>
      </c>
      <c r="E64" s="59" t="s">
        <v>124</v>
      </c>
      <c r="F64" s="54">
        <v>8</v>
      </c>
      <c r="G64" s="54">
        <v>3</v>
      </c>
      <c r="H64" s="58"/>
    </row>
    <row r="65" ht="15" spans="2:8">
      <c r="B65" s="54">
        <v>54</v>
      </c>
      <c r="C65" s="55" t="s">
        <v>213</v>
      </c>
      <c r="D65" s="55" t="s">
        <v>214</v>
      </c>
      <c r="E65" s="59" t="s">
        <v>124</v>
      </c>
      <c r="F65" s="54">
        <v>8</v>
      </c>
      <c r="G65" s="54">
        <v>3</v>
      </c>
      <c r="H65" s="58"/>
    </row>
    <row r="66" ht="15" spans="2:8">
      <c r="B66" s="54">
        <v>55</v>
      </c>
      <c r="C66" s="55" t="s">
        <v>215</v>
      </c>
      <c r="D66" s="55" t="s">
        <v>216</v>
      </c>
      <c r="E66" s="59" t="s">
        <v>124</v>
      </c>
      <c r="F66" s="54">
        <v>8</v>
      </c>
      <c r="G66" s="54">
        <v>3</v>
      </c>
      <c r="H66" s="58"/>
    </row>
    <row r="67" ht="15" spans="2:8">
      <c r="B67" s="54">
        <v>56</v>
      </c>
      <c r="C67" s="55" t="s">
        <v>217</v>
      </c>
      <c r="D67" s="55" t="s">
        <v>218</v>
      </c>
      <c r="E67" s="59" t="s">
        <v>124</v>
      </c>
      <c r="F67" s="54">
        <v>8</v>
      </c>
      <c r="G67" s="54">
        <v>3</v>
      </c>
      <c r="H67" s="58"/>
    </row>
    <row r="68" ht="15" spans="2:8">
      <c r="B68" s="54">
        <v>57</v>
      </c>
      <c r="C68" s="55" t="s">
        <v>219</v>
      </c>
      <c r="D68" s="55" t="s">
        <v>220</v>
      </c>
      <c r="E68" s="59" t="s">
        <v>124</v>
      </c>
      <c r="F68" s="54">
        <v>8</v>
      </c>
      <c r="G68" s="54">
        <v>3</v>
      </c>
      <c r="H68" s="58"/>
    </row>
    <row r="69" ht="15" spans="2:8">
      <c r="B69" s="54">
        <v>58</v>
      </c>
      <c r="C69" s="55" t="s">
        <v>221</v>
      </c>
      <c r="D69" s="55" t="s">
        <v>222</v>
      </c>
      <c r="E69" s="59" t="s">
        <v>124</v>
      </c>
      <c r="F69" s="54">
        <v>8</v>
      </c>
      <c r="G69" s="54">
        <v>3</v>
      </c>
      <c r="H69" s="58"/>
    </row>
    <row r="70" ht="15" spans="2:8">
      <c r="B70" s="54">
        <v>59</v>
      </c>
      <c r="C70" s="55" t="s">
        <v>223</v>
      </c>
      <c r="D70" s="55" t="s">
        <v>224</v>
      </c>
      <c r="E70" s="59" t="s">
        <v>124</v>
      </c>
      <c r="F70" s="54">
        <v>8</v>
      </c>
      <c r="G70" s="54">
        <v>3</v>
      </c>
      <c r="H70" s="58"/>
    </row>
    <row r="71" ht="15" spans="2:8">
      <c r="B71" s="54">
        <v>60</v>
      </c>
      <c r="C71" s="55" t="s">
        <v>225</v>
      </c>
      <c r="D71" s="55" t="s">
        <v>226</v>
      </c>
      <c r="E71" s="59" t="s">
        <v>124</v>
      </c>
      <c r="F71" s="54">
        <v>8</v>
      </c>
      <c r="G71" s="54">
        <v>3</v>
      </c>
      <c r="H71" s="58"/>
    </row>
    <row r="72" ht="15" spans="2:8">
      <c r="B72" s="54">
        <v>61</v>
      </c>
      <c r="C72" s="55" t="s">
        <v>227</v>
      </c>
      <c r="D72" s="55" t="s">
        <v>228</v>
      </c>
      <c r="E72" s="59" t="s">
        <v>124</v>
      </c>
      <c r="F72" s="54">
        <v>8</v>
      </c>
      <c r="G72" s="54">
        <v>3</v>
      </c>
      <c r="H72" s="58"/>
    </row>
    <row r="73" ht="15" spans="2:8">
      <c r="B73" s="54">
        <v>62</v>
      </c>
      <c r="C73" s="55" t="s">
        <v>229</v>
      </c>
      <c r="D73" s="55" t="s">
        <v>230</v>
      </c>
      <c r="E73" s="59" t="s">
        <v>124</v>
      </c>
      <c r="F73" s="56">
        <v>8</v>
      </c>
      <c r="G73" s="54">
        <v>3</v>
      </c>
      <c r="H73" s="58"/>
    </row>
    <row r="74" ht="15" spans="2:8">
      <c r="B74" s="54">
        <v>63</v>
      </c>
      <c r="C74" s="55" t="s">
        <v>231</v>
      </c>
      <c r="D74" s="55" t="s">
        <v>232</v>
      </c>
      <c r="E74" s="59" t="s">
        <v>124</v>
      </c>
      <c r="F74" s="56">
        <v>8</v>
      </c>
      <c r="G74" s="54">
        <v>3</v>
      </c>
      <c r="H74" s="58"/>
    </row>
    <row r="75" ht="15" spans="2:8">
      <c r="B75" s="54">
        <v>64</v>
      </c>
      <c r="C75" s="55" t="s">
        <v>233</v>
      </c>
      <c r="D75" s="55" t="s">
        <v>234</v>
      </c>
      <c r="E75" s="59" t="s">
        <v>124</v>
      </c>
      <c r="F75" s="56">
        <v>8</v>
      </c>
      <c r="G75" s="54">
        <v>3</v>
      </c>
      <c r="H75" s="58"/>
    </row>
    <row r="76" ht="15" spans="2:8">
      <c r="B76" s="54">
        <v>65</v>
      </c>
      <c r="C76" s="55" t="s">
        <v>235</v>
      </c>
      <c r="D76" s="55" t="s">
        <v>236</v>
      </c>
      <c r="E76" s="59" t="s">
        <v>124</v>
      </c>
      <c r="F76" s="56">
        <v>8</v>
      </c>
      <c r="G76" s="54">
        <v>3</v>
      </c>
      <c r="H76" s="58"/>
    </row>
    <row r="77" ht="15" spans="2:8">
      <c r="B77" s="54">
        <v>66</v>
      </c>
      <c r="C77" s="55" t="s">
        <v>237</v>
      </c>
      <c r="D77" s="55" t="s">
        <v>238</v>
      </c>
      <c r="E77" s="59" t="s">
        <v>124</v>
      </c>
      <c r="F77" s="56">
        <v>8</v>
      </c>
      <c r="G77" s="54">
        <v>3</v>
      </c>
      <c r="H77" s="58"/>
    </row>
    <row r="78" ht="15" spans="2:8">
      <c r="B78" s="54">
        <v>67</v>
      </c>
      <c r="C78" s="55" t="s">
        <v>239</v>
      </c>
      <c r="D78" s="55" t="s">
        <v>240</v>
      </c>
      <c r="E78" s="59" t="s">
        <v>124</v>
      </c>
      <c r="F78" s="56">
        <v>8</v>
      </c>
      <c r="G78" s="54">
        <v>3</v>
      </c>
      <c r="H78" s="58"/>
    </row>
    <row r="79" ht="15" spans="2:8">
      <c r="B79" s="54">
        <v>68</v>
      </c>
      <c r="C79" s="55" t="s">
        <v>241</v>
      </c>
      <c r="D79" s="55" t="s">
        <v>242</v>
      </c>
      <c r="E79" s="55" t="s">
        <v>101</v>
      </c>
      <c r="F79" s="56">
        <v>20</v>
      </c>
      <c r="G79" s="56"/>
      <c r="H79" s="60"/>
    </row>
    <row r="80" ht="29.25" spans="2:8">
      <c r="B80" s="54">
        <v>69</v>
      </c>
      <c r="C80" s="55" t="s">
        <v>243</v>
      </c>
      <c r="D80" s="55" t="s">
        <v>244</v>
      </c>
      <c r="E80" s="55" t="s">
        <v>146</v>
      </c>
      <c r="F80" s="56">
        <v>8</v>
      </c>
      <c r="G80" s="61"/>
      <c r="H80" s="62" t="s">
        <v>245</v>
      </c>
    </row>
    <row r="82" spans="2:8">
      <c r="B82" s="53" t="s">
        <v>112</v>
      </c>
    </row>
    <row r="84" ht="15" spans="2:8">
      <c r="B84" s="47" t="s">
        <v>246</v>
      </c>
      <c r="C84" s="47"/>
      <c r="D84" s="47"/>
      <c r="E84" s="47"/>
      <c r="F84" s="47"/>
      <c r="G84" s="47"/>
      <c r="H84" s="47"/>
    </row>
    <row r="85" ht="29.25" spans="2:8">
      <c r="B85" s="63" t="s">
        <v>0</v>
      </c>
      <c r="C85" s="63" t="s">
        <v>95</v>
      </c>
      <c r="D85" s="63" t="s">
        <v>96</v>
      </c>
      <c r="E85" s="63" t="s">
        <v>97</v>
      </c>
      <c r="F85" s="63" t="s">
        <v>98</v>
      </c>
      <c r="G85" s="63" t="s">
        <v>99</v>
      </c>
      <c r="H85" s="63" t="s">
        <v>27</v>
      </c>
    </row>
    <row r="86" ht="29.25" spans="2:8">
      <c r="B86" s="56">
        <v>1</v>
      </c>
      <c r="C86" s="55" t="s">
        <v>247</v>
      </c>
      <c r="D86" s="55" t="s">
        <v>248</v>
      </c>
      <c r="E86" s="55" t="s">
        <v>249</v>
      </c>
      <c r="F86" s="56">
        <v>10</v>
      </c>
      <c r="G86" s="56"/>
      <c r="H86" s="56"/>
    </row>
    <row r="87" ht="29.25" spans="2:8">
      <c r="B87" s="56"/>
      <c r="C87" s="55" t="s">
        <v>250</v>
      </c>
      <c r="D87" s="55" t="s">
        <v>251</v>
      </c>
      <c r="E87" s="55" t="s">
        <v>101</v>
      </c>
      <c r="F87" s="56">
        <v>30</v>
      </c>
      <c r="G87" s="56"/>
      <c r="H87" s="56"/>
    </row>
    <row r="88" ht="29.25" spans="2:8">
      <c r="B88" s="56"/>
      <c r="C88" s="55" t="s">
        <v>252</v>
      </c>
      <c r="D88" s="55" t="s">
        <v>253</v>
      </c>
      <c r="E88" s="55" t="s">
        <v>101</v>
      </c>
      <c r="F88" s="56">
        <v>30</v>
      </c>
      <c r="G88" s="56"/>
      <c r="H88" s="56"/>
    </row>
    <row r="89" ht="15" spans="2:8">
      <c r="B89" s="56">
        <v>2</v>
      </c>
      <c r="C89" s="55" t="s">
        <v>254</v>
      </c>
      <c r="D89" s="55" t="s">
        <v>255</v>
      </c>
      <c r="E89" s="55" t="s">
        <v>101</v>
      </c>
      <c r="F89" s="56">
        <v>50</v>
      </c>
      <c r="G89" s="56"/>
      <c r="H89" s="56"/>
    </row>
    <row r="90" ht="15" spans="2:8">
      <c r="B90" s="56">
        <v>3</v>
      </c>
      <c r="C90" s="55" t="s">
        <v>256</v>
      </c>
      <c r="D90" s="55" t="s">
        <v>257</v>
      </c>
      <c r="E90" s="55" t="s">
        <v>101</v>
      </c>
      <c r="F90" s="56">
        <v>50</v>
      </c>
      <c r="G90" s="56"/>
      <c r="H90" s="56"/>
    </row>
    <row r="91" ht="15" spans="2:8">
      <c r="B91" s="56">
        <v>4</v>
      </c>
      <c r="C91" s="55" t="s">
        <v>258</v>
      </c>
      <c r="D91" s="55" t="s">
        <v>259</v>
      </c>
      <c r="E91" s="55" t="s">
        <v>101</v>
      </c>
      <c r="F91" s="56">
        <v>50</v>
      </c>
      <c r="G91" s="56"/>
      <c r="H91" s="56"/>
    </row>
    <row r="92" ht="15" spans="2:8">
      <c r="B92" s="56">
        <v>5</v>
      </c>
      <c r="C92" s="55" t="s">
        <v>260</v>
      </c>
      <c r="D92" s="55" t="s">
        <v>261</v>
      </c>
      <c r="E92" s="55" t="s">
        <v>101</v>
      </c>
      <c r="F92" s="56">
        <v>100</v>
      </c>
      <c r="G92" s="56"/>
      <c r="H92" s="56"/>
    </row>
    <row r="93" ht="15" spans="2:8">
      <c r="B93" s="56">
        <v>6</v>
      </c>
      <c r="C93" s="55" t="s">
        <v>262</v>
      </c>
      <c r="D93" s="55" t="s">
        <v>263</v>
      </c>
      <c r="E93" s="55" t="s">
        <v>101</v>
      </c>
      <c r="F93" s="56">
        <v>100</v>
      </c>
      <c r="G93" s="56"/>
      <c r="H93" s="56"/>
    </row>
    <row r="94" ht="15" spans="2:8">
      <c r="B94" s="56">
        <v>7</v>
      </c>
      <c r="C94" s="55" t="s">
        <v>102</v>
      </c>
      <c r="D94" s="55" t="s">
        <v>103</v>
      </c>
      <c r="E94" s="55" t="s">
        <v>101</v>
      </c>
      <c r="F94" s="56">
        <v>60</v>
      </c>
      <c r="G94" s="56"/>
      <c r="H94" s="56"/>
    </row>
    <row r="95" ht="15" spans="2:8">
      <c r="B95" s="56">
        <v>8</v>
      </c>
      <c r="C95" s="55" t="s">
        <v>104</v>
      </c>
      <c r="D95" s="55" t="s">
        <v>105</v>
      </c>
      <c r="E95" s="55" t="s">
        <v>101</v>
      </c>
      <c r="F95" s="56">
        <v>60</v>
      </c>
      <c r="G95" s="56"/>
      <c r="H95" s="56"/>
    </row>
    <row r="96" ht="15" spans="2:8">
      <c r="B96" s="56">
        <v>9</v>
      </c>
      <c r="C96" s="55" t="s">
        <v>106</v>
      </c>
      <c r="D96" s="55" t="s">
        <v>107</v>
      </c>
      <c r="E96" s="55" t="s">
        <v>101</v>
      </c>
      <c r="F96" s="56">
        <v>60</v>
      </c>
      <c r="G96" s="56"/>
      <c r="H96" s="56"/>
    </row>
    <row r="97" ht="15" spans="2:9">
      <c r="B97" s="56">
        <v>10</v>
      </c>
      <c r="C97" s="55" t="s">
        <v>108</v>
      </c>
      <c r="D97" s="55" t="s">
        <v>109</v>
      </c>
      <c r="E97" s="55" t="s">
        <v>101</v>
      </c>
      <c r="F97" s="56">
        <v>60</v>
      </c>
      <c r="G97" s="56"/>
      <c r="H97" s="56"/>
    </row>
    <row r="98" ht="15" spans="2:9">
      <c r="B98" s="56">
        <v>11</v>
      </c>
      <c r="C98" s="55" t="s">
        <v>264</v>
      </c>
      <c r="D98" s="55" t="s">
        <v>265</v>
      </c>
      <c r="E98" s="55" t="s">
        <v>101</v>
      </c>
      <c r="F98" s="56">
        <v>10</v>
      </c>
      <c r="G98" s="56"/>
      <c r="H98" s="56"/>
    </row>
    <row r="99" ht="15" spans="2:9">
      <c r="B99" s="56">
        <v>12</v>
      </c>
      <c r="C99" s="55" t="s">
        <v>266</v>
      </c>
      <c r="D99" s="55" t="s">
        <v>267</v>
      </c>
      <c r="E99" s="55" t="s">
        <v>101</v>
      </c>
      <c r="F99" s="56">
        <v>10</v>
      </c>
      <c r="G99" s="56"/>
      <c r="H99" s="56"/>
    </row>
    <row r="100" ht="29.25" spans="2:9">
      <c r="B100" s="56">
        <v>13</v>
      </c>
      <c r="C100" s="64" t="s">
        <v>268</v>
      </c>
      <c r="D100" s="64" t="s">
        <v>269</v>
      </c>
      <c r="E100" s="64" t="s">
        <v>270</v>
      </c>
      <c r="F100" s="65">
        <v>16</v>
      </c>
      <c r="G100" s="66">
        <v>3</v>
      </c>
      <c r="H100" s="64" t="s">
        <v>271</v>
      </c>
      <c r="I100" s="46" t="s">
        <v>272</v>
      </c>
    </row>
    <row r="101" ht="15" spans="2:9">
      <c r="B101" s="56">
        <v>14</v>
      </c>
      <c r="C101" s="55" t="s">
        <v>130</v>
      </c>
      <c r="D101" s="55" t="s">
        <v>131</v>
      </c>
      <c r="E101" s="55" t="s">
        <v>101</v>
      </c>
      <c r="F101" s="56">
        <v>30</v>
      </c>
      <c r="G101" s="67"/>
      <c r="H101" s="56"/>
    </row>
    <row r="102" ht="29.25" spans="2:9">
      <c r="B102" s="56">
        <v>15</v>
      </c>
      <c r="C102" s="64" t="s">
        <v>273</v>
      </c>
      <c r="D102" s="64" t="s">
        <v>274</v>
      </c>
      <c r="E102" s="64" t="s">
        <v>146</v>
      </c>
      <c r="F102" s="65">
        <v>4</v>
      </c>
      <c r="G102" s="66"/>
      <c r="H102" s="64" t="s">
        <v>275</v>
      </c>
      <c r="I102" s="46" t="s">
        <v>276</v>
      </c>
    </row>
    <row r="103" ht="15" spans="2:9">
      <c r="B103" s="56">
        <v>16</v>
      </c>
      <c r="C103" s="55" t="s">
        <v>277</v>
      </c>
      <c r="D103" s="55" t="s">
        <v>278</v>
      </c>
      <c r="E103" s="55" t="s">
        <v>101</v>
      </c>
      <c r="F103" s="56">
        <v>10</v>
      </c>
      <c r="G103" s="67"/>
      <c r="H103" s="56"/>
    </row>
    <row r="104" ht="15" spans="2:9">
      <c r="B104" s="56">
        <v>17</v>
      </c>
      <c r="C104" s="55" t="s">
        <v>279</v>
      </c>
      <c r="D104" s="55" t="s">
        <v>280</v>
      </c>
      <c r="E104" s="55" t="s">
        <v>101</v>
      </c>
      <c r="F104" s="56">
        <v>100</v>
      </c>
      <c r="G104" s="67"/>
      <c r="H104" s="56"/>
    </row>
    <row r="105" ht="31.5" spans="2:9">
      <c r="B105" s="56">
        <v>18</v>
      </c>
      <c r="C105" s="55" t="s">
        <v>281</v>
      </c>
      <c r="D105" s="55" t="s">
        <v>282</v>
      </c>
      <c r="E105" s="55" t="s">
        <v>124</v>
      </c>
      <c r="F105" s="56">
        <v>8</v>
      </c>
      <c r="G105" s="67">
        <v>2</v>
      </c>
      <c r="H105" s="55" t="s">
        <v>283</v>
      </c>
    </row>
    <row r="106" ht="29.25" spans="2:9">
      <c r="B106" s="56">
        <v>19</v>
      </c>
      <c r="C106" s="55" t="s">
        <v>199</v>
      </c>
      <c r="D106" s="55" t="s">
        <v>200</v>
      </c>
      <c r="E106" s="55" t="s">
        <v>124</v>
      </c>
      <c r="F106" s="56">
        <v>8</v>
      </c>
      <c r="G106" s="67">
        <v>3</v>
      </c>
      <c r="H106" s="55" t="s">
        <v>284</v>
      </c>
    </row>
    <row r="107" ht="29.25" spans="2:9">
      <c r="B107" s="56">
        <v>20</v>
      </c>
      <c r="C107" s="55" t="s">
        <v>207</v>
      </c>
      <c r="D107" s="55" t="s">
        <v>208</v>
      </c>
      <c r="E107" s="55" t="s">
        <v>124</v>
      </c>
      <c r="F107" s="56">
        <v>8</v>
      </c>
      <c r="G107" s="67">
        <v>3</v>
      </c>
      <c r="H107" s="55" t="s">
        <v>285</v>
      </c>
    </row>
    <row r="108" ht="29.25" spans="2:9">
      <c r="B108" s="56">
        <v>21</v>
      </c>
      <c r="C108" s="55" t="s">
        <v>211</v>
      </c>
      <c r="D108" s="55" t="s">
        <v>212</v>
      </c>
      <c r="E108" s="55" t="s">
        <v>124</v>
      </c>
      <c r="F108" s="56">
        <v>8</v>
      </c>
      <c r="G108" s="67">
        <v>3</v>
      </c>
      <c r="H108" s="55" t="s">
        <v>285</v>
      </c>
    </row>
    <row r="109" ht="29.25" spans="2:9">
      <c r="B109" s="56">
        <v>22</v>
      </c>
      <c r="C109" s="55" t="s">
        <v>286</v>
      </c>
      <c r="D109" s="55" t="s">
        <v>287</v>
      </c>
      <c r="E109" s="55" t="s">
        <v>101</v>
      </c>
      <c r="F109" s="56">
        <v>60</v>
      </c>
      <c r="G109" s="67"/>
      <c r="H109" s="56"/>
    </row>
    <row r="110" ht="15" spans="2:9">
      <c r="B110" s="56">
        <v>23</v>
      </c>
      <c r="C110" s="55" t="s">
        <v>288</v>
      </c>
      <c r="D110" s="55" t="s">
        <v>289</v>
      </c>
      <c r="E110" s="55" t="s">
        <v>101</v>
      </c>
      <c r="F110" s="56">
        <v>60</v>
      </c>
      <c r="G110" s="67"/>
      <c r="H110" s="56"/>
    </row>
    <row r="111" ht="15" spans="2:9">
      <c r="B111" s="56">
        <v>24</v>
      </c>
      <c r="C111" s="64" t="s">
        <v>290</v>
      </c>
      <c r="D111" s="64" t="s">
        <v>291</v>
      </c>
      <c r="E111" s="64" t="s">
        <v>146</v>
      </c>
      <c r="F111" s="65">
        <v>4</v>
      </c>
      <c r="G111" s="66"/>
      <c r="H111" s="64" t="s">
        <v>275</v>
      </c>
      <c r="I111" s="46" t="s">
        <v>276</v>
      </c>
    </row>
    <row r="112" ht="15" spans="2:9">
      <c r="B112" s="56">
        <v>25</v>
      </c>
      <c r="C112" s="55" t="s">
        <v>187</v>
      </c>
      <c r="D112" s="55" t="s">
        <v>292</v>
      </c>
      <c r="E112" s="55" t="s">
        <v>124</v>
      </c>
      <c r="F112" s="56">
        <v>4</v>
      </c>
      <c r="G112" s="67">
        <v>2</v>
      </c>
      <c r="H112" s="56"/>
    </row>
    <row r="113" ht="15" spans="2:8">
      <c r="B113" s="56">
        <v>26</v>
      </c>
      <c r="C113" s="55" t="s">
        <v>128</v>
      </c>
      <c r="D113" s="55" t="s">
        <v>293</v>
      </c>
      <c r="E113" s="55" t="s">
        <v>124</v>
      </c>
      <c r="F113" s="68">
        <v>8</v>
      </c>
      <c r="G113" s="67">
        <v>2</v>
      </c>
      <c r="H113" s="56"/>
    </row>
    <row r="114" ht="29.25" spans="2:8">
      <c r="B114" s="56">
        <v>27</v>
      </c>
      <c r="C114" s="55" t="s">
        <v>294</v>
      </c>
      <c r="D114" s="55" t="s">
        <v>295</v>
      </c>
      <c r="E114" s="55" t="s">
        <v>101</v>
      </c>
      <c r="F114" s="68">
        <v>10</v>
      </c>
      <c r="G114" s="67"/>
      <c r="H114" s="56"/>
    </row>
    <row r="115" ht="29.25" spans="2:8">
      <c r="B115" s="56">
        <v>28</v>
      </c>
      <c r="C115" s="55" t="s">
        <v>296</v>
      </c>
      <c r="D115" s="55" t="s">
        <v>297</v>
      </c>
      <c r="E115" s="55" t="s">
        <v>101</v>
      </c>
      <c r="F115" s="68">
        <v>10</v>
      </c>
      <c r="G115" s="67"/>
      <c r="H115" s="56"/>
    </row>
    <row r="116" ht="15" customHeight="1" spans="2:8">
      <c r="B116" s="56">
        <v>29</v>
      </c>
      <c r="C116" s="55" t="s">
        <v>298</v>
      </c>
      <c r="D116" s="55" t="s">
        <v>299</v>
      </c>
      <c r="E116" s="55" t="s">
        <v>124</v>
      </c>
      <c r="F116" s="56">
        <v>8</v>
      </c>
      <c r="G116" s="67">
        <v>4</v>
      </c>
      <c r="H116" s="50" t="s">
        <v>300</v>
      </c>
    </row>
    <row r="117" ht="29.25" spans="2:8">
      <c r="B117" s="56">
        <v>30</v>
      </c>
      <c r="C117" s="55" t="s">
        <v>301</v>
      </c>
      <c r="D117" s="55" t="s">
        <v>302</v>
      </c>
      <c r="E117" s="55" t="s">
        <v>124</v>
      </c>
      <c r="F117" s="56">
        <v>8</v>
      </c>
      <c r="G117" s="67">
        <v>4</v>
      </c>
      <c r="H117" s="49"/>
    </row>
    <row r="118" ht="29.25" spans="2:8">
      <c r="B118" s="56">
        <v>31</v>
      </c>
      <c r="C118" s="55" t="s">
        <v>303</v>
      </c>
      <c r="D118" s="55" t="s">
        <v>304</v>
      </c>
      <c r="E118" s="55" t="s">
        <v>124</v>
      </c>
      <c r="F118" s="56">
        <v>8</v>
      </c>
      <c r="G118" s="67">
        <v>4</v>
      </c>
      <c r="H118" s="49"/>
    </row>
    <row r="119" ht="29.25" spans="2:8">
      <c r="B119" s="56">
        <v>32</v>
      </c>
      <c r="C119" s="55" t="s">
        <v>305</v>
      </c>
      <c r="D119" s="55" t="s">
        <v>306</v>
      </c>
      <c r="E119" s="55" t="s">
        <v>124</v>
      </c>
      <c r="F119" s="56">
        <v>8</v>
      </c>
      <c r="G119" s="67">
        <v>4</v>
      </c>
      <c r="H119" s="49"/>
    </row>
    <row r="120" ht="29.25" spans="2:8">
      <c r="B120" s="56">
        <v>33</v>
      </c>
      <c r="C120" s="55" t="s">
        <v>307</v>
      </c>
      <c r="D120" s="55" t="s">
        <v>308</v>
      </c>
      <c r="E120" s="55" t="s">
        <v>124</v>
      </c>
      <c r="F120" s="56">
        <v>8</v>
      </c>
      <c r="G120" s="67">
        <v>4</v>
      </c>
      <c r="H120" s="49"/>
    </row>
    <row r="121" ht="15" spans="2:8">
      <c r="B121" s="56">
        <v>34</v>
      </c>
      <c r="C121" s="55" t="s">
        <v>309</v>
      </c>
      <c r="D121" s="55" t="s">
        <v>310</v>
      </c>
      <c r="E121" s="55" t="s">
        <v>124</v>
      </c>
      <c r="F121" s="56">
        <v>8</v>
      </c>
      <c r="G121" s="67">
        <v>4</v>
      </c>
      <c r="H121" s="49"/>
    </row>
    <row r="122" ht="15" spans="2:8">
      <c r="B122" s="56">
        <v>35</v>
      </c>
      <c r="C122" s="55" t="s">
        <v>311</v>
      </c>
      <c r="D122" s="55" t="s">
        <v>312</v>
      </c>
      <c r="E122" s="55" t="s">
        <v>124</v>
      </c>
      <c r="F122" s="56">
        <v>8</v>
      </c>
      <c r="G122" s="67">
        <v>4</v>
      </c>
      <c r="H122" s="49"/>
    </row>
    <row r="123" ht="15" spans="2:8">
      <c r="B123" s="56">
        <v>36</v>
      </c>
      <c r="C123" s="55" t="s">
        <v>313</v>
      </c>
      <c r="D123" s="55" t="s">
        <v>314</v>
      </c>
      <c r="E123" s="55" t="s">
        <v>124</v>
      </c>
      <c r="F123" s="56">
        <v>8</v>
      </c>
      <c r="G123" s="67">
        <v>4</v>
      </c>
      <c r="H123" s="49"/>
    </row>
    <row r="124" ht="29.25" spans="2:8">
      <c r="B124" s="56">
        <v>37</v>
      </c>
      <c r="C124" s="55" t="s">
        <v>315</v>
      </c>
      <c r="D124" s="55" t="s">
        <v>316</v>
      </c>
      <c r="E124" s="55" t="s">
        <v>124</v>
      </c>
      <c r="F124" s="56">
        <v>8</v>
      </c>
      <c r="G124" s="67">
        <v>4</v>
      </c>
      <c r="H124" s="49"/>
    </row>
    <row r="125" ht="29.25" spans="2:8">
      <c r="B125" s="56">
        <v>38</v>
      </c>
      <c r="C125" s="55" t="s">
        <v>317</v>
      </c>
      <c r="D125" s="55" t="s">
        <v>318</v>
      </c>
      <c r="E125" s="55" t="s">
        <v>124</v>
      </c>
      <c r="F125" s="56">
        <v>8</v>
      </c>
      <c r="G125" s="67">
        <v>4</v>
      </c>
      <c r="H125" s="49"/>
    </row>
    <row r="126" ht="29.25" spans="2:8">
      <c r="B126" s="56">
        <v>39</v>
      </c>
      <c r="C126" s="55" t="s">
        <v>319</v>
      </c>
      <c r="D126" s="55" t="s">
        <v>320</v>
      </c>
      <c r="E126" s="55" t="s">
        <v>124</v>
      </c>
      <c r="F126" s="56">
        <v>8</v>
      </c>
      <c r="G126" s="67">
        <v>4</v>
      </c>
      <c r="H126" s="49"/>
    </row>
    <row r="127" ht="15" spans="2:8">
      <c r="B127" s="56">
        <v>40</v>
      </c>
      <c r="C127" s="55" t="s">
        <v>321</v>
      </c>
      <c r="D127" s="55" t="s">
        <v>322</v>
      </c>
      <c r="E127" s="55" t="s">
        <v>124</v>
      </c>
      <c r="F127" s="56">
        <v>8</v>
      </c>
      <c r="G127" s="67">
        <v>4</v>
      </c>
      <c r="H127" s="49"/>
    </row>
    <row r="128" ht="15" spans="2:8">
      <c r="B128" s="56">
        <v>41</v>
      </c>
      <c r="C128" s="55" t="s">
        <v>323</v>
      </c>
      <c r="D128" s="55" t="s">
        <v>324</v>
      </c>
      <c r="E128" s="55" t="s">
        <v>124</v>
      </c>
      <c r="F128" s="56">
        <v>8</v>
      </c>
      <c r="G128" s="67">
        <v>4</v>
      </c>
      <c r="H128" s="49"/>
    </row>
    <row r="129" ht="29.25" spans="2:9">
      <c r="B129" s="56">
        <v>42</v>
      </c>
      <c r="C129" s="55" t="s">
        <v>325</v>
      </c>
      <c r="D129" s="55" t="s">
        <v>326</v>
      </c>
      <c r="E129" s="55" t="s">
        <v>124</v>
      </c>
      <c r="F129" s="56">
        <v>8</v>
      </c>
      <c r="G129" s="67">
        <v>4</v>
      </c>
      <c r="H129" s="49"/>
    </row>
    <row r="130" ht="29.25" spans="2:9">
      <c r="B130" s="56">
        <v>43</v>
      </c>
      <c r="C130" s="55" t="s">
        <v>327</v>
      </c>
      <c r="D130" s="55" t="s">
        <v>328</v>
      </c>
      <c r="E130" s="55" t="s">
        <v>124</v>
      </c>
      <c r="F130" s="56">
        <v>8</v>
      </c>
      <c r="G130" s="67">
        <v>4</v>
      </c>
      <c r="H130" s="49"/>
    </row>
    <row r="131" ht="43.5" spans="2:9">
      <c r="B131" s="56">
        <v>44</v>
      </c>
      <c r="C131" s="55" t="s">
        <v>329</v>
      </c>
      <c r="D131" s="55" t="s">
        <v>330</v>
      </c>
      <c r="E131" s="55" t="s">
        <v>124</v>
      </c>
      <c r="F131" s="56">
        <v>8</v>
      </c>
      <c r="G131" s="67">
        <v>4</v>
      </c>
      <c r="H131" s="69" t="s">
        <v>331</v>
      </c>
    </row>
    <row r="132" ht="29.25" spans="2:9">
      <c r="B132" s="56">
        <v>45</v>
      </c>
      <c r="C132" s="64" t="s">
        <v>332</v>
      </c>
      <c r="D132" s="64" t="s">
        <v>333</v>
      </c>
      <c r="E132" s="64" t="s">
        <v>146</v>
      </c>
      <c r="F132" s="65">
        <v>2</v>
      </c>
      <c r="G132" s="66">
        <v>0</v>
      </c>
      <c r="H132" s="64" t="s">
        <v>334</v>
      </c>
      <c r="I132" s="46" t="s">
        <v>276</v>
      </c>
    </row>
    <row r="133" ht="15" spans="2:9">
      <c r="B133" s="56">
        <v>46</v>
      </c>
      <c r="C133" s="64" t="s">
        <v>335</v>
      </c>
      <c r="D133" s="64" t="s">
        <v>336</v>
      </c>
      <c r="E133" s="64" t="s">
        <v>124</v>
      </c>
      <c r="F133" s="65">
        <v>8</v>
      </c>
      <c r="G133" s="66">
        <v>2</v>
      </c>
      <c r="H133" s="70" t="s">
        <v>337</v>
      </c>
    </row>
    <row r="134" ht="43.5" spans="2:9">
      <c r="B134" s="56">
        <v>47</v>
      </c>
      <c r="C134" s="64" t="s">
        <v>338</v>
      </c>
      <c r="D134" s="64" t="s">
        <v>339</v>
      </c>
      <c r="E134" s="64" t="s">
        <v>124</v>
      </c>
      <c r="F134" s="65">
        <v>8</v>
      </c>
      <c r="G134" s="66">
        <v>2</v>
      </c>
      <c r="H134" s="70" t="s">
        <v>337</v>
      </c>
    </row>
  </sheetData>
  <mergeCells count="4">
    <mergeCell ref="B1:H1"/>
    <mergeCell ref="B12:H12"/>
    <mergeCell ref="B84:H84"/>
    <mergeCell ref="H116:H130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"/>
  <sheetViews>
    <sheetView workbookViewId="0">
      <selection activeCell="E53" sqref="E53"/>
    </sheetView>
  </sheetViews>
  <sheetFormatPr defaultColWidth="9" defaultRowHeight="14.25" outlineLevelCol="5"/>
  <cols>
    <col min="1" max="1" width="24.3" style="38" customWidth="1"/>
    <col min="2" max="2" width="26" style="38" customWidth="1"/>
    <col min="3" max="3" width="16.2" style="38" customWidth="1"/>
    <col min="4" max="4" width="11.875" style="38" customWidth="1"/>
    <col min="5" max="5" width="26.3" style="38" customWidth="1"/>
  </cols>
  <sheetData>
    <row r="1" ht="21" spans="1:6">
      <c r="A1" s="39"/>
      <c r="B1" s="39"/>
      <c r="C1" s="39"/>
      <c r="D1" s="39"/>
      <c r="E1" s="39"/>
    </row>
    <row r="2" ht="13.5" spans="1:6">
      <c r="A2" s="40" t="s">
        <v>251</v>
      </c>
      <c r="B2" s="40" t="s">
        <v>253</v>
      </c>
      <c r="C2" s="40" t="s">
        <v>340</v>
      </c>
      <c r="D2" s="40" t="s">
        <v>341</v>
      </c>
      <c r="E2" s="41" t="s">
        <v>342</v>
      </c>
      <c r="F2" s="42"/>
    </row>
    <row r="3" spans="1:6">
      <c r="A3" s="43" t="s">
        <v>343</v>
      </c>
      <c r="B3" s="43" t="s">
        <v>344</v>
      </c>
      <c r="C3" s="43" t="s">
        <v>345</v>
      </c>
      <c r="D3" s="43" t="s">
        <v>346</v>
      </c>
      <c r="E3" s="43" t="s">
        <v>347</v>
      </c>
    </row>
    <row r="4" spans="1:6">
      <c r="A4" s="43" t="s">
        <v>343</v>
      </c>
      <c r="B4" s="43" t="s">
        <v>344</v>
      </c>
      <c r="C4" s="43" t="s">
        <v>345</v>
      </c>
      <c r="D4" s="43" t="s">
        <v>346</v>
      </c>
      <c r="E4" s="43" t="s">
        <v>348</v>
      </c>
    </row>
    <row r="5" spans="1:6">
      <c r="A5" s="43" t="s">
        <v>343</v>
      </c>
      <c r="B5" s="43" t="s">
        <v>344</v>
      </c>
      <c r="C5" s="43" t="s">
        <v>345</v>
      </c>
      <c r="D5" s="43" t="s">
        <v>346</v>
      </c>
      <c r="E5" s="43" t="s">
        <v>349</v>
      </c>
    </row>
    <row r="6" spans="1:6">
      <c r="A6" s="43" t="s">
        <v>343</v>
      </c>
      <c r="B6" s="43" t="s">
        <v>344</v>
      </c>
      <c r="C6" s="43" t="s">
        <v>345</v>
      </c>
      <c r="D6" s="43" t="s">
        <v>346</v>
      </c>
      <c r="E6" s="43" t="s">
        <v>350</v>
      </c>
    </row>
    <row r="7" spans="1:6">
      <c r="A7" s="43" t="s">
        <v>343</v>
      </c>
      <c r="B7" s="43" t="s">
        <v>344</v>
      </c>
      <c r="C7" s="43" t="s">
        <v>345</v>
      </c>
      <c r="D7" s="43" t="s">
        <v>351</v>
      </c>
      <c r="E7" s="43" t="s">
        <v>352</v>
      </c>
    </row>
    <row r="8" spans="1:6">
      <c r="A8" s="43" t="s">
        <v>343</v>
      </c>
      <c r="B8" s="43" t="s">
        <v>344</v>
      </c>
      <c r="C8" s="43" t="s">
        <v>345</v>
      </c>
      <c r="D8" s="43" t="s">
        <v>351</v>
      </c>
      <c r="E8" s="43" t="s">
        <v>353</v>
      </c>
    </row>
    <row r="9" spans="1:6">
      <c r="A9" s="43" t="s">
        <v>343</v>
      </c>
      <c r="B9" s="43" t="s">
        <v>354</v>
      </c>
      <c r="C9" s="43" t="s">
        <v>345</v>
      </c>
      <c r="D9" s="43" t="s">
        <v>351</v>
      </c>
      <c r="E9" s="43" t="s">
        <v>355</v>
      </c>
    </row>
    <row r="10" spans="1:6">
      <c r="A10" s="43" t="s">
        <v>343</v>
      </c>
      <c r="B10" s="43" t="s">
        <v>354</v>
      </c>
      <c r="C10" s="43" t="s">
        <v>345</v>
      </c>
      <c r="D10" s="43" t="s">
        <v>351</v>
      </c>
      <c r="E10" s="43" t="s">
        <v>356</v>
      </c>
    </row>
    <row r="11" spans="1:6">
      <c r="A11" s="43" t="s">
        <v>343</v>
      </c>
      <c r="B11" s="43" t="s">
        <v>354</v>
      </c>
      <c r="C11" s="43" t="s">
        <v>345</v>
      </c>
      <c r="D11" s="43" t="s">
        <v>351</v>
      </c>
      <c r="E11" s="43" t="s">
        <v>357</v>
      </c>
    </row>
    <row r="12" spans="1:6">
      <c r="A12" s="43" t="s">
        <v>343</v>
      </c>
      <c r="B12" s="43" t="s">
        <v>354</v>
      </c>
      <c r="C12" s="43" t="s">
        <v>345</v>
      </c>
      <c r="D12" s="43" t="s">
        <v>351</v>
      </c>
      <c r="E12" s="43" t="s">
        <v>358</v>
      </c>
    </row>
    <row r="13" spans="1:6">
      <c r="A13" s="43" t="s">
        <v>343</v>
      </c>
      <c r="B13" s="43" t="s">
        <v>354</v>
      </c>
      <c r="C13" s="43" t="s">
        <v>345</v>
      </c>
      <c r="D13" s="43" t="s">
        <v>351</v>
      </c>
      <c r="E13" s="43" t="s">
        <v>359</v>
      </c>
    </row>
    <row r="14" spans="1:6">
      <c r="A14" s="43" t="s">
        <v>343</v>
      </c>
      <c r="B14" s="43" t="s">
        <v>354</v>
      </c>
      <c r="C14" s="43" t="s">
        <v>345</v>
      </c>
      <c r="D14" s="43" t="s">
        <v>351</v>
      </c>
      <c r="E14" s="43" t="s">
        <v>360</v>
      </c>
    </row>
    <row r="15" spans="1:6">
      <c r="A15" s="43" t="s">
        <v>343</v>
      </c>
      <c r="B15" s="43" t="s">
        <v>354</v>
      </c>
      <c r="C15" s="43" t="s">
        <v>345</v>
      </c>
      <c r="D15" s="43" t="s">
        <v>351</v>
      </c>
      <c r="E15" s="43" t="s">
        <v>361</v>
      </c>
    </row>
    <row r="16" spans="1:6">
      <c r="A16" s="43" t="s">
        <v>343</v>
      </c>
      <c r="B16" s="43" t="s">
        <v>354</v>
      </c>
      <c r="C16" s="43" t="s">
        <v>345</v>
      </c>
      <c r="D16" s="43" t="s">
        <v>351</v>
      </c>
      <c r="E16" s="43" t="s">
        <v>362</v>
      </c>
    </row>
    <row r="17" spans="1:5">
      <c r="A17" s="43" t="s">
        <v>343</v>
      </c>
      <c r="B17" s="43" t="s">
        <v>354</v>
      </c>
      <c r="C17" s="43" t="s">
        <v>345</v>
      </c>
      <c r="D17" s="43" t="s">
        <v>351</v>
      </c>
      <c r="E17" s="43" t="s">
        <v>363</v>
      </c>
    </row>
    <row r="18" spans="1:5">
      <c r="A18" s="43" t="s">
        <v>343</v>
      </c>
      <c r="B18" s="43" t="s">
        <v>354</v>
      </c>
      <c r="C18" s="43" t="s">
        <v>345</v>
      </c>
      <c r="D18" s="43" t="s">
        <v>346</v>
      </c>
      <c r="E18" s="43" t="s">
        <v>364</v>
      </c>
    </row>
    <row r="19" spans="1:5">
      <c r="A19" s="43" t="s">
        <v>343</v>
      </c>
      <c r="B19" s="43" t="s">
        <v>354</v>
      </c>
      <c r="C19" s="43" t="s">
        <v>345</v>
      </c>
      <c r="D19" s="43" t="s">
        <v>346</v>
      </c>
      <c r="E19" s="43" t="s">
        <v>365</v>
      </c>
    </row>
    <row r="20" spans="1:5">
      <c r="A20" s="43" t="s">
        <v>343</v>
      </c>
      <c r="B20" s="43" t="s">
        <v>354</v>
      </c>
      <c r="C20" s="43" t="s">
        <v>345</v>
      </c>
      <c r="D20" s="43" t="s">
        <v>346</v>
      </c>
      <c r="E20" s="43" t="s">
        <v>366</v>
      </c>
    </row>
    <row r="21" spans="1:5">
      <c r="A21" s="43" t="s">
        <v>343</v>
      </c>
      <c r="B21" s="43" t="s">
        <v>354</v>
      </c>
      <c r="C21" s="43" t="s">
        <v>345</v>
      </c>
      <c r="D21" s="43" t="s">
        <v>346</v>
      </c>
      <c r="E21" s="43" t="s">
        <v>367</v>
      </c>
    </row>
    <row r="22" spans="1:5">
      <c r="A22" s="43" t="s">
        <v>343</v>
      </c>
      <c r="B22" s="43" t="s">
        <v>354</v>
      </c>
      <c r="C22" s="43" t="s">
        <v>345</v>
      </c>
      <c r="D22" s="43" t="s">
        <v>346</v>
      </c>
      <c r="E22" s="43" t="s">
        <v>368</v>
      </c>
    </row>
    <row r="23" spans="1:5">
      <c r="A23" s="43" t="s">
        <v>343</v>
      </c>
      <c r="B23" s="43" t="s">
        <v>354</v>
      </c>
      <c r="C23" s="43" t="s">
        <v>345</v>
      </c>
      <c r="D23" s="43" t="s">
        <v>346</v>
      </c>
      <c r="E23" s="43" t="s">
        <v>369</v>
      </c>
    </row>
    <row r="24" spans="1:5">
      <c r="A24" s="43" t="s">
        <v>343</v>
      </c>
      <c r="B24" s="43" t="s">
        <v>354</v>
      </c>
      <c r="C24" s="43" t="s">
        <v>345</v>
      </c>
      <c r="D24" s="43" t="s">
        <v>346</v>
      </c>
      <c r="E24" s="43" t="s">
        <v>370</v>
      </c>
    </row>
    <row r="25" spans="1:5">
      <c r="A25" s="43" t="s">
        <v>343</v>
      </c>
      <c r="B25" s="43" t="s">
        <v>354</v>
      </c>
      <c r="C25" s="43" t="s">
        <v>345</v>
      </c>
      <c r="D25" s="43" t="s">
        <v>346</v>
      </c>
      <c r="E25" s="43" t="s">
        <v>371</v>
      </c>
    </row>
    <row r="26" spans="1:5">
      <c r="A26" s="43" t="s">
        <v>343</v>
      </c>
      <c r="B26" s="43" t="s">
        <v>354</v>
      </c>
      <c r="C26" s="43" t="s">
        <v>345</v>
      </c>
      <c r="D26" s="43" t="s">
        <v>346</v>
      </c>
      <c r="E26" s="43" t="s">
        <v>372</v>
      </c>
    </row>
    <row r="27" spans="1:5">
      <c r="A27" s="43" t="s">
        <v>343</v>
      </c>
      <c r="B27" s="43" t="s">
        <v>354</v>
      </c>
      <c r="C27" s="43" t="s">
        <v>345</v>
      </c>
      <c r="D27" s="43" t="s">
        <v>346</v>
      </c>
      <c r="E27" s="43" t="s">
        <v>373</v>
      </c>
    </row>
    <row r="28" spans="1:5">
      <c r="A28" s="43" t="s">
        <v>343</v>
      </c>
      <c r="B28" s="43" t="s">
        <v>354</v>
      </c>
      <c r="C28" s="43" t="s">
        <v>345</v>
      </c>
      <c r="D28" s="43" t="s">
        <v>346</v>
      </c>
      <c r="E28" s="43" t="s">
        <v>374</v>
      </c>
    </row>
    <row r="29" spans="1:5">
      <c r="A29" s="43" t="s">
        <v>343</v>
      </c>
      <c r="B29" s="43" t="s">
        <v>354</v>
      </c>
      <c r="C29" s="43" t="s">
        <v>345</v>
      </c>
      <c r="D29" s="43" t="s">
        <v>375</v>
      </c>
      <c r="E29" s="43" t="s">
        <v>376</v>
      </c>
    </row>
    <row r="30" spans="1:5">
      <c r="A30" s="43" t="s">
        <v>343</v>
      </c>
      <c r="B30" s="43" t="s">
        <v>354</v>
      </c>
      <c r="C30" s="43" t="s">
        <v>345</v>
      </c>
      <c r="D30" s="43" t="s">
        <v>377</v>
      </c>
      <c r="E30" s="43" t="s">
        <v>378</v>
      </c>
    </row>
    <row r="31" spans="1:5">
      <c r="A31" s="43" t="s">
        <v>379</v>
      </c>
      <c r="B31" s="43" t="s">
        <v>380</v>
      </c>
      <c r="C31" s="43" t="s">
        <v>345</v>
      </c>
      <c r="D31" s="43" t="s">
        <v>381</v>
      </c>
      <c r="E31" s="43" t="s">
        <v>382</v>
      </c>
    </row>
    <row r="32" spans="1:5">
      <c r="A32" s="43" t="s">
        <v>379</v>
      </c>
      <c r="B32" s="43" t="s">
        <v>380</v>
      </c>
      <c r="C32" s="43" t="s">
        <v>345</v>
      </c>
      <c r="D32" s="43" t="s">
        <v>381</v>
      </c>
      <c r="E32" s="43" t="s">
        <v>383</v>
      </c>
    </row>
    <row r="33" spans="1:5">
      <c r="A33" s="43" t="s">
        <v>379</v>
      </c>
      <c r="B33" s="43" t="s">
        <v>380</v>
      </c>
      <c r="C33" s="43" t="s">
        <v>345</v>
      </c>
      <c r="D33" s="43" t="s">
        <v>384</v>
      </c>
      <c r="E33" s="43" t="s">
        <v>385</v>
      </c>
    </row>
    <row r="34" spans="1:5">
      <c r="A34" s="43" t="s">
        <v>379</v>
      </c>
      <c r="B34" s="43" t="s">
        <v>380</v>
      </c>
      <c r="C34" s="43" t="s">
        <v>345</v>
      </c>
      <c r="D34" s="43" t="s">
        <v>384</v>
      </c>
      <c r="E34" s="43" t="s">
        <v>386</v>
      </c>
    </row>
    <row r="35" spans="1:5">
      <c r="A35" s="43" t="s">
        <v>379</v>
      </c>
      <c r="B35" s="43" t="s">
        <v>380</v>
      </c>
      <c r="C35" s="43" t="s">
        <v>345</v>
      </c>
      <c r="D35" s="43" t="s">
        <v>384</v>
      </c>
      <c r="E35" s="43" t="s">
        <v>387</v>
      </c>
    </row>
    <row r="36" spans="1:5">
      <c r="A36" s="43" t="s">
        <v>379</v>
      </c>
      <c r="B36" s="43" t="s">
        <v>380</v>
      </c>
      <c r="C36" s="43" t="s">
        <v>345</v>
      </c>
      <c r="D36" s="43" t="s">
        <v>384</v>
      </c>
      <c r="E36" s="43" t="s">
        <v>388</v>
      </c>
    </row>
    <row r="37" spans="1:5">
      <c r="A37" s="43" t="s">
        <v>379</v>
      </c>
      <c r="B37" s="43" t="s">
        <v>380</v>
      </c>
      <c r="C37" s="43" t="s">
        <v>345</v>
      </c>
      <c r="D37" s="43" t="s">
        <v>389</v>
      </c>
      <c r="E37" s="43" t="s">
        <v>390</v>
      </c>
    </row>
    <row r="38" spans="1:5">
      <c r="A38" s="43" t="s">
        <v>379</v>
      </c>
      <c r="B38" s="43" t="s">
        <v>380</v>
      </c>
      <c r="C38" s="43" t="s">
        <v>345</v>
      </c>
      <c r="D38" s="43" t="s">
        <v>389</v>
      </c>
      <c r="E38" s="43" t="s">
        <v>391</v>
      </c>
    </row>
    <row r="39" spans="1:5">
      <c r="A39" s="43" t="s">
        <v>379</v>
      </c>
      <c r="B39" s="43" t="s">
        <v>380</v>
      </c>
      <c r="C39" s="43" t="s">
        <v>345</v>
      </c>
      <c r="D39" s="43" t="s">
        <v>389</v>
      </c>
      <c r="E39" s="43" t="s">
        <v>392</v>
      </c>
    </row>
    <row r="40" spans="1:5">
      <c r="A40" s="43" t="s">
        <v>379</v>
      </c>
      <c r="B40" s="43" t="s">
        <v>380</v>
      </c>
      <c r="C40" s="43" t="s">
        <v>345</v>
      </c>
      <c r="D40" s="43" t="s">
        <v>389</v>
      </c>
      <c r="E40" s="43" t="s">
        <v>393</v>
      </c>
    </row>
    <row r="41" spans="1:5">
      <c r="A41" s="43" t="s">
        <v>379</v>
      </c>
      <c r="B41" s="43" t="s">
        <v>380</v>
      </c>
      <c r="C41" s="43" t="s">
        <v>345</v>
      </c>
      <c r="D41" s="43" t="s">
        <v>389</v>
      </c>
      <c r="E41" s="43" t="s">
        <v>394</v>
      </c>
    </row>
    <row r="42" spans="1:5">
      <c r="A42" s="43" t="s">
        <v>379</v>
      </c>
      <c r="B42" s="43" t="s">
        <v>380</v>
      </c>
      <c r="C42" s="43" t="s">
        <v>345</v>
      </c>
      <c r="D42" s="43" t="s">
        <v>389</v>
      </c>
      <c r="E42" s="43" t="s">
        <v>395</v>
      </c>
    </row>
    <row r="43" spans="1:5">
      <c r="A43" s="43" t="s">
        <v>379</v>
      </c>
      <c r="B43" s="43" t="s">
        <v>380</v>
      </c>
      <c r="C43" s="43" t="s">
        <v>345</v>
      </c>
      <c r="D43" s="43" t="s">
        <v>389</v>
      </c>
      <c r="E43" s="43" t="s">
        <v>396</v>
      </c>
    </row>
    <row r="44" spans="1:5">
      <c r="A44" s="43" t="s">
        <v>379</v>
      </c>
      <c r="B44" s="43" t="s">
        <v>380</v>
      </c>
      <c r="C44" s="43" t="s">
        <v>345</v>
      </c>
      <c r="D44" s="43" t="s">
        <v>397</v>
      </c>
      <c r="E44" s="43" t="s">
        <v>398</v>
      </c>
    </row>
    <row r="45" spans="1:5">
      <c r="A45" s="43" t="s">
        <v>379</v>
      </c>
      <c r="B45" s="43" t="s">
        <v>380</v>
      </c>
      <c r="C45" s="43" t="s">
        <v>345</v>
      </c>
      <c r="D45" s="43" t="s">
        <v>397</v>
      </c>
      <c r="E45" s="43" t="s">
        <v>399</v>
      </c>
    </row>
    <row r="46" spans="1:5">
      <c r="A46" s="43" t="s">
        <v>379</v>
      </c>
      <c r="B46" s="43" t="s">
        <v>380</v>
      </c>
      <c r="C46" s="43" t="s">
        <v>345</v>
      </c>
      <c r="D46" s="43" t="s">
        <v>397</v>
      </c>
      <c r="E46" s="43" t="s">
        <v>400</v>
      </c>
    </row>
    <row r="47" spans="1:5">
      <c r="A47" s="43" t="s">
        <v>379</v>
      </c>
      <c r="B47" s="43" t="s">
        <v>380</v>
      </c>
      <c r="C47" s="43" t="s">
        <v>345</v>
      </c>
      <c r="D47" s="43" t="s">
        <v>397</v>
      </c>
      <c r="E47" s="43" t="s">
        <v>401</v>
      </c>
    </row>
    <row r="48" spans="1:5">
      <c r="A48" s="43" t="s">
        <v>379</v>
      </c>
      <c r="B48" s="43" t="s">
        <v>380</v>
      </c>
      <c r="C48" s="43" t="s">
        <v>345</v>
      </c>
      <c r="D48" s="43" t="s">
        <v>397</v>
      </c>
      <c r="E48" s="43" t="s">
        <v>402</v>
      </c>
    </row>
    <row r="49" spans="1:5">
      <c r="A49" s="43" t="s">
        <v>379</v>
      </c>
      <c r="B49" s="43" t="s">
        <v>380</v>
      </c>
      <c r="C49" s="43" t="s">
        <v>345</v>
      </c>
      <c r="D49" s="43" t="s">
        <v>397</v>
      </c>
      <c r="E49" s="43" t="s">
        <v>403</v>
      </c>
    </row>
    <row r="50" spans="1:5">
      <c r="A50" s="43" t="s">
        <v>379</v>
      </c>
      <c r="B50" s="43" t="s">
        <v>380</v>
      </c>
      <c r="C50" s="43" t="s">
        <v>345</v>
      </c>
      <c r="D50" s="43" t="s">
        <v>397</v>
      </c>
      <c r="E50" s="43" t="s">
        <v>404</v>
      </c>
    </row>
    <row r="51" spans="1:5">
      <c r="A51" s="43" t="s">
        <v>379</v>
      </c>
      <c r="B51" s="43" t="s">
        <v>380</v>
      </c>
      <c r="C51" s="43" t="s">
        <v>345</v>
      </c>
      <c r="D51" s="43" t="s">
        <v>397</v>
      </c>
      <c r="E51" s="43" t="s">
        <v>405</v>
      </c>
    </row>
    <row r="52" spans="1:5">
      <c r="A52" s="43" t="s">
        <v>379</v>
      </c>
      <c r="B52" s="43" t="s">
        <v>380</v>
      </c>
      <c r="C52" s="43" t="s">
        <v>345</v>
      </c>
      <c r="D52" s="43" t="s">
        <v>406</v>
      </c>
      <c r="E52" s="43" t="s">
        <v>407</v>
      </c>
    </row>
    <row r="53" spans="1:5">
      <c r="A53" s="43" t="s">
        <v>379</v>
      </c>
      <c r="B53" s="43" t="s">
        <v>380</v>
      </c>
      <c r="C53" s="43" t="s">
        <v>345</v>
      </c>
      <c r="D53" s="43" t="s">
        <v>406</v>
      </c>
      <c r="E53" s="43" t="s">
        <v>408</v>
      </c>
    </row>
    <row r="54" spans="1:5">
      <c r="A54" s="43" t="s">
        <v>379</v>
      </c>
      <c r="B54" s="43" t="s">
        <v>380</v>
      </c>
      <c r="C54" s="43" t="s">
        <v>345</v>
      </c>
      <c r="D54" s="43" t="s">
        <v>406</v>
      </c>
      <c r="E54" s="43" t="s">
        <v>409</v>
      </c>
    </row>
    <row r="55" spans="1:5">
      <c r="A55" s="43" t="s">
        <v>379</v>
      </c>
      <c r="B55" s="43" t="s">
        <v>380</v>
      </c>
      <c r="C55" s="43" t="s">
        <v>345</v>
      </c>
      <c r="D55" s="43" t="s">
        <v>406</v>
      </c>
      <c r="E55" s="43" t="s">
        <v>410</v>
      </c>
    </row>
    <row r="56" spans="1:5">
      <c r="A56" s="43" t="s">
        <v>379</v>
      </c>
      <c r="B56" s="43" t="s">
        <v>380</v>
      </c>
      <c r="C56" s="43" t="s">
        <v>345</v>
      </c>
      <c r="D56" s="43" t="s">
        <v>406</v>
      </c>
      <c r="E56" s="43" t="s">
        <v>411</v>
      </c>
    </row>
    <row r="57" spans="1:5">
      <c r="A57" s="43" t="s">
        <v>379</v>
      </c>
      <c r="B57" s="43" t="s">
        <v>380</v>
      </c>
      <c r="C57" s="43" t="s">
        <v>345</v>
      </c>
      <c r="D57" s="43" t="s">
        <v>406</v>
      </c>
      <c r="E57" s="43" t="s">
        <v>412</v>
      </c>
    </row>
    <row r="58" spans="1:5">
      <c r="A58" s="43" t="s">
        <v>379</v>
      </c>
      <c r="B58" s="43" t="s">
        <v>380</v>
      </c>
      <c r="C58" s="43" t="s">
        <v>345</v>
      </c>
      <c r="D58" s="43" t="s">
        <v>406</v>
      </c>
      <c r="E58" s="43" t="s">
        <v>413</v>
      </c>
    </row>
    <row r="59" spans="1:5">
      <c r="A59" s="43" t="s">
        <v>379</v>
      </c>
      <c r="B59" s="43" t="s">
        <v>380</v>
      </c>
      <c r="C59" s="43" t="s">
        <v>345</v>
      </c>
      <c r="D59" s="43" t="s">
        <v>406</v>
      </c>
      <c r="E59" s="43" t="s">
        <v>414</v>
      </c>
    </row>
    <row r="60" spans="1:5">
      <c r="A60" s="43" t="s">
        <v>379</v>
      </c>
      <c r="B60" s="43" t="s">
        <v>380</v>
      </c>
      <c r="C60" s="43" t="s">
        <v>345</v>
      </c>
      <c r="D60" s="43" t="s">
        <v>406</v>
      </c>
      <c r="E60" s="43" t="s">
        <v>415</v>
      </c>
    </row>
    <row r="61" spans="1:5">
      <c r="A61" s="43" t="s">
        <v>379</v>
      </c>
      <c r="B61" s="43" t="s">
        <v>380</v>
      </c>
      <c r="C61" s="43" t="s">
        <v>345</v>
      </c>
      <c r="D61" s="43" t="s">
        <v>406</v>
      </c>
      <c r="E61" s="43" t="s">
        <v>416</v>
      </c>
    </row>
    <row r="62" spans="1:5">
      <c r="A62" s="43" t="s">
        <v>379</v>
      </c>
      <c r="B62" s="43" t="s">
        <v>380</v>
      </c>
      <c r="C62" s="43" t="s">
        <v>345</v>
      </c>
      <c r="D62" s="43" t="s">
        <v>406</v>
      </c>
      <c r="E62" s="43" t="s">
        <v>417</v>
      </c>
    </row>
    <row r="63" spans="1:5">
      <c r="A63" s="43" t="s">
        <v>379</v>
      </c>
      <c r="B63" s="43" t="s">
        <v>380</v>
      </c>
      <c r="C63" s="43" t="s">
        <v>345</v>
      </c>
      <c r="D63" s="43" t="s">
        <v>377</v>
      </c>
      <c r="E63" s="43" t="s">
        <v>418</v>
      </c>
    </row>
    <row r="64" spans="1:5">
      <c r="A64" s="43" t="s">
        <v>379</v>
      </c>
      <c r="B64" s="43" t="s">
        <v>380</v>
      </c>
      <c r="C64" s="43" t="s">
        <v>345</v>
      </c>
      <c r="D64" s="43" t="s">
        <v>419</v>
      </c>
      <c r="E64" s="43" t="s">
        <v>420</v>
      </c>
    </row>
    <row r="65" spans="1:5">
      <c r="A65" s="43" t="s">
        <v>379</v>
      </c>
      <c r="B65" s="43" t="s">
        <v>380</v>
      </c>
      <c r="C65" s="43" t="s">
        <v>345</v>
      </c>
      <c r="D65" s="43" t="s">
        <v>419</v>
      </c>
      <c r="E65" s="43" t="s">
        <v>421</v>
      </c>
    </row>
    <row r="66" spans="1:5">
      <c r="A66" s="43" t="s">
        <v>379</v>
      </c>
      <c r="B66" s="43" t="s">
        <v>380</v>
      </c>
      <c r="C66" s="43" t="s">
        <v>345</v>
      </c>
      <c r="D66" s="43" t="s">
        <v>419</v>
      </c>
      <c r="E66" s="43" t="s">
        <v>422</v>
      </c>
    </row>
    <row r="67" spans="1:5">
      <c r="A67" s="43" t="s">
        <v>379</v>
      </c>
      <c r="B67" s="43" t="s">
        <v>380</v>
      </c>
      <c r="C67" s="43" t="s">
        <v>345</v>
      </c>
      <c r="D67" s="43" t="s">
        <v>419</v>
      </c>
      <c r="E67" s="43" t="s">
        <v>423</v>
      </c>
    </row>
    <row r="68" spans="1:5">
      <c r="A68" s="43" t="s">
        <v>379</v>
      </c>
      <c r="B68" s="43" t="s">
        <v>380</v>
      </c>
      <c r="C68" s="43" t="s">
        <v>345</v>
      </c>
      <c r="D68" s="43" t="s">
        <v>419</v>
      </c>
      <c r="E68" s="43" t="s">
        <v>424</v>
      </c>
    </row>
    <row r="69" spans="1:5">
      <c r="A69" s="43" t="s">
        <v>379</v>
      </c>
      <c r="B69" s="43" t="s">
        <v>380</v>
      </c>
      <c r="C69" s="43" t="s">
        <v>345</v>
      </c>
      <c r="D69" s="43" t="s">
        <v>419</v>
      </c>
      <c r="E69" s="43" t="s">
        <v>425</v>
      </c>
    </row>
    <row r="70" spans="1:5">
      <c r="A70" s="43" t="s">
        <v>379</v>
      </c>
      <c r="B70" s="43" t="s">
        <v>380</v>
      </c>
      <c r="C70" s="43" t="s">
        <v>345</v>
      </c>
      <c r="D70" s="43" t="s">
        <v>419</v>
      </c>
      <c r="E70" s="43" t="s">
        <v>426</v>
      </c>
    </row>
    <row r="71" spans="1:5">
      <c r="A71" s="43" t="s">
        <v>379</v>
      </c>
      <c r="B71" s="43" t="s">
        <v>380</v>
      </c>
      <c r="C71" s="43" t="s">
        <v>345</v>
      </c>
      <c r="D71" s="43" t="s">
        <v>419</v>
      </c>
      <c r="E71" s="43" t="s">
        <v>427</v>
      </c>
    </row>
    <row r="72" spans="1:5">
      <c r="A72" s="43" t="s">
        <v>379</v>
      </c>
      <c r="B72" s="43" t="s">
        <v>380</v>
      </c>
      <c r="C72" s="43" t="s">
        <v>345</v>
      </c>
      <c r="D72" s="43" t="s">
        <v>419</v>
      </c>
      <c r="E72" s="43" t="s">
        <v>428</v>
      </c>
    </row>
    <row r="73" spans="1:5">
      <c r="A73" s="43" t="s">
        <v>379</v>
      </c>
      <c r="B73" s="43" t="s">
        <v>380</v>
      </c>
      <c r="C73" s="43" t="s">
        <v>345</v>
      </c>
      <c r="D73" s="43" t="s">
        <v>419</v>
      </c>
      <c r="E73" s="43" t="s">
        <v>429</v>
      </c>
    </row>
    <row r="74" spans="1:5">
      <c r="A74" s="43" t="s">
        <v>379</v>
      </c>
      <c r="B74" s="43" t="s">
        <v>380</v>
      </c>
      <c r="C74" s="43" t="s">
        <v>345</v>
      </c>
      <c r="D74" s="43" t="s">
        <v>419</v>
      </c>
      <c r="E74" s="43" t="s">
        <v>430</v>
      </c>
    </row>
    <row r="75" spans="1:5">
      <c r="A75" s="43" t="s">
        <v>379</v>
      </c>
      <c r="B75" s="43" t="s">
        <v>380</v>
      </c>
      <c r="C75" s="43" t="s">
        <v>345</v>
      </c>
      <c r="D75" s="43" t="s">
        <v>419</v>
      </c>
      <c r="E75" s="43" t="s">
        <v>431</v>
      </c>
    </row>
    <row r="76" spans="1:5">
      <c r="A76" s="43" t="s">
        <v>379</v>
      </c>
      <c r="B76" s="43" t="s">
        <v>380</v>
      </c>
      <c r="C76" s="43" t="s">
        <v>345</v>
      </c>
      <c r="D76" s="43" t="s">
        <v>419</v>
      </c>
      <c r="E76" s="43" t="s">
        <v>432</v>
      </c>
    </row>
    <row r="77" spans="1:5">
      <c r="A77" s="43" t="s">
        <v>379</v>
      </c>
      <c r="B77" s="43" t="s">
        <v>380</v>
      </c>
      <c r="C77" s="43" t="s">
        <v>345</v>
      </c>
      <c r="D77" s="43" t="s">
        <v>419</v>
      </c>
      <c r="E77" s="43" t="s">
        <v>433</v>
      </c>
    </row>
    <row r="78" spans="1:5">
      <c r="A78" s="43" t="s">
        <v>379</v>
      </c>
      <c r="B78" s="43" t="s">
        <v>380</v>
      </c>
      <c r="C78" s="43" t="s">
        <v>345</v>
      </c>
      <c r="D78" s="43" t="s">
        <v>419</v>
      </c>
      <c r="E78" s="43" t="s">
        <v>434</v>
      </c>
    </row>
    <row r="79" spans="1:5">
      <c r="A79" s="43" t="s">
        <v>379</v>
      </c>
      <c r="B79" s="43" t="s">
        <v>380</v>
      </c>
      <c r="C79" s="43" t="s">
        <v>345</v>
      </c>
      <c r="D79" s="43" t="s">
        <v>435</v>
      </c>
      <c r="E79" s="43" t="s">
        <v>436</v>
      </c>
    </row>
    <row r="80" spans="1:5">
      <c r="A80" s="43" t="s">
        <v>379</v>
      </c>
      <c r="B80" s="43" t="s">
        <v>380</v>
      </c>
      <c r="C80" s="43" t="s">
        <v>345</v>
      </c>
      <c r="D80" s="43" t="s">
        <v>435</v>
      </c>
      <c r="E80" s="43" t="s">
        <v>437</v>
      </c>
    </row>
    <row r="81" spans="1:5">
      <c r="A81" s="43" t="s">
        <v>379</v>
      </c>
      <c r="B81" s="43" t="s">
        <v>380</v>
      </c>
      <c r="C81" s="43" t="s">
        <v>345</v>
      </c>
      <c r="D81" s="43" t="s">
        <v>435</v>
      </c>
      <c r="E81" s="43" t="s">
        <v>438</v>
      </c>
    </row>
    <row r="82" spans="1:5">
      <c r="A82" s="43" t="s">
        <v>379</v>
      </c>
      <c r="B82" s="43" t="s">
        <v>380</v>
      </c>
      <c r="C82" s="43" t="s">
        <v>345</v>
      </c>
      <c r="D82" s="43" t="s">
        <v>435</v>
      </c>
      <c r="E82" s="43" t="s">
        <v>439</v>
      </c>
    </row>
    <row r="83" spans="1:5">
      <c r="A83" s="43" t="s">
        <v>379</v>
      </c>
      <c r="B83" s="43" t="s">
        <v>380</v>
      </c>
      <c r="C83" s="43" t="s">
        <v>345</v>
      </c>
      <c r="D83" s="43" t="s">
        <v>435</v>
      </c>
      <c r="E83" s="43" t="s">
        <v>440</v>
      </c>
    </row>
    <row r="84" spans="1:5">
      <c r="A84" s="43" t="s">
        <v>379</v>
      </c>
      <c r="B84" s="43" t="s">
        <v>380</v>
      </c>
      <c r="C84" s="43" t="s">
        <v>345</v>
      </c>
      <c r="D84" s="43" t="s">
        <v>435</v>
      </c>
      <c r="E84" s="43" t="s">
        <v>441</v>
      </c>
    </row>
    <row r="85" spans="1:5">
      <c r="A85" s="43" t="s">
        <v>379</v>
      </c>
      <c r="B85" s="43" t="s">
        <v>380</v>
      </c>
      <c r="C85" s="43" t="s">
        <v>345</v>
      </c>
      <c r="D85" s="43" t="s">
        <v>435</v>
      </c>
      <c r="E85" s="43" t="s">
        <v>442</v>
      </c>
    </row>
    <row r="86" spans="1:5">
      <c r="A86" s="43" t="s">
        <v>379</v>
      </c>
      <c r="B86" s="43" t="s">
        <v>443</v>
      </c>
      <c r="C86" s="43" t="s">
        <v>345</v>
      </c>
      <c r="D86" s="43" t="s">
        <v>381</v>
      </c>
      <c r="E86" s="43" t="s">
        <v>444</v>
      </c>
    </row>
    <row r="87" spans="1:5">
      <c r="A87" s="43" t="s">
        <v>379</v>
      </c>
      <c r="B87" s="43" t="s">
        <v>443</v>
      </c>
      <c r="C87" s="43" t="s">
        <v>345</v>
      </c>
      <c r="D87" s="43" t="s">
        <v>445</v>
      </c>
      <c r="E87" s="43" t="s">
        <v>445</v>
      </c>
    </row>
    <row r="88" spans="1:5">
      <c r="A88" s="43" t="s">
        <v>379</v>
      </c>
      <c r="B88" s="43" t="s">
        <v>443</v>
      </c>
      <c r="C88" s="43" t="s">
        <v>345</v>
      </c>
      <c r="D88" s="43" t="s">
        <v>384</v>
      </c>
      <c r="E88" s="43" t="s">
        <v>446</v>
      </c>
    </row>
    <row r="89" spans="1:5">
      <c r="A89" s="43" t="s">
        <v>379</v>
      </c>
      <c r="B89" s="43" t="s">
        <v>443</v>
      </c>
      <c r="C89" s="43" t="s">
        <v>345</v>
      </c>
      <c r="D89" s="43" t="s">
        <v>384</v>
      </c>
      <c r="E89" s="43" t="s">
        <v>447</v>
      </c>
    </row>
    <row r="90" spans="1:5">
      <c r="A90" s="43" t="s">
        <v>379</v>
      </c>
      <c r="B90" s="43" t="s">
        <v>443</v>
      </c>
      <c r="C90" s="43" t="s">
        <v>345</v>
      </c>
      <c r="D90" s="43" t="s">
        <v>384</v>
      </c>
      <c r="E90" s="43" t="s">
        <v>448</v>
      </c>
    </row>
    <row r="91" spans="1:5">
      <c r="A91" s="43" t="s">
        <v>379</v>
      </c>
      <c r="B91" s="43" t="s">
        <v>443</v>
      </c>
      <c r="C91" s="43" t="s">
        <v>345</v>
      </c>
      <c r="D91" s="43" t="s">
        <v>384</v>
      </c>
      <c r="E91" s="43" t="s">
        <v>449</v>
      </c>
    </row>
    <row r="92" spans="1:5">
      <c r="A92" s="43" t="s">
        <v>379</v>
      </c>
      <c r="B92" s="43" t="s">
        <v>443</v>
      </c>
      <c r="C92" s="43" t="s">
        <v>345</v>
      </c>
      <c r="D92" s="43" t="s">
        <v>384</v>
      </c>
      <c r="E92" s="43" t="s">
        <v>450</v>
      </c>
    </row>
    <row r="93" spans="1:5">
      <c r="A93" s="43" t="s">
        <v>379</v>
      </c>
      <c r="B93" s="43" t="s">
        <v>443</v>
      </c>
      <c r="C93" s="43" t="s">
        <v>345</v>
      </c>
      <c r="D93" s="43" t="s">
        <v>384</v>
      </c>
      <c r="E93" s="43" t="s">
        <v>451</v>
      </c>
    </row>
    <row r="94" spans="1:5">
      <c r="A94" s="43" t="s">
        <v>379</v>
      </c>
      <c r="B94" s="43" t="s">
        <v>443</v>
      </c>
      <c r="C94" s="43" t="s">
        <v>345</v>
      </c>
      <c r="D94" s="43" t="s">
        <v>384</v>
      </c>
      <c r="E94" s="43" t="s">
        <v>452</v>
      </c>
    </row>
    <row r="95" spans="1:5">
      <c r="A95" s="43" t="s">
        <v>379</v>
      </c>
      <c r="B95" s="43" t="s">
        <v>443</v>
      </c>
      <c r="C95" s="43" t="s">
        <v>345</v>
      </c>
      <c r="D95" s="43" t="s">
        <v>384</v>
      </c>
      <c r="E95" s="43" t="s">
        <v>453</v>
      </c>
    </row>
    <row r="96" spans="1:5">
      <c r="A96" s="43" t="s">
        <v>379</v>
      </c>
      <c r="B96" s="43" t="s">
        <v>443</v>
      </c>
      <c r="C96" s="43" t="s">
        <v>345</v>
      </c>
      <c r="D96" s="43" t="s">
        <v>384</v>
      </c>
      <c r="E96" s="43" t="s">
        <v>454</v>
      </c>
    </row>
    <row r="97" spans="1:5">
      <c r="A97" s="43" t="s">
        <v>379</v>
      </c>
      <c r="B97" s="43" t="s">
        <v>443</v>
      </c>
      <c r="C97" s="43" t="s">
        <v>345</v>
      </c>
      <c r="D97" s="43" t="s">
        <v>384</v>
      </c>
      <c r="E97" s="43" t="s">
        <v>455</v>
      </c>
    </row>
    <row r="98" spans="1:5">
      <c r="A98" s="43" t="s">
        <v>379</v>
      </c>
      <c r="B98" s="43" t="s">
        <v>443</v>
      </c>
      <c r="C98" s="43" t="s">
        <v>345</v>
      </c>
      <c r="D98" s="43" t="s">
        <v>384</v>
      </c>
      <c r="E98" s="43" t="s">
        <v>456</v>
      </c>
    </row>
    <row r="99" spans="1:5">
      <c r="A99" s="43" t="s">
        <v>379</v>
      </c>
      <c r="B99" s="43" t="s">
        <v>443</v>
      </c>
      <c r="C99" s="43" t="s">
        <v>345</v>
      </c>
      <c r="D99" s="43" t="s">
        <v>384</v>
      </c>
      <c r="E99" s="43" t="s">
        <v>457</v>
      </c>
    </row>
    <row r="100" spans="1:5">
      <c r="A100" s="43" t="s">
        <v>379</v>
      </c>
      <c r="B100" s="43" t="s">
        <v>443</v>
      </c>
      <c r="C100" s="43" t="s">
        <v>345</v>
      </c>
      <c r="D100" s="43" t="s">
        <v>375</v>
      </c>
      <c r="E100" s="43" t="s">
        <v>458</v>
      </c>
    </row>
    <row r="101" spans="1:5">
      <c r="A101" s="43" t="s">
        <v>379</v>
      </c>
      <c r="B101" s="43" t="s">
        <v>443</v>
      </c>
      <c r="C101" s="43" t="s">
        <v>345</v>
      </c>
      <c r="D101" s="43" t="s">
        <v>375</v>
      </c>
      <c r="E101" s="43" t="s">
        <v>459</v>
      </c>
    </row>
    <row r="102" spans="1:5">
      <c r="A102" s="43" t="s">
        <v>379</v>
      </c>
      <c r="B102" s="43" t="s">
        <v>443</v>
      </c>
      <c r="C102" s="43" t="s">
        <v>345</v>
      </c>
      <c r="D102" s="43" t="s">
        <v>375</v>
      </c>
      <c r="E102" s="43" t="s">
        <v>460</v>
      </c>
    </row>
    <row r="103" spans="1:5">
      <c r="A103" s="43" t="s">
        <v>379</v>
      </c>
      <c r="B103" s="43" t="s">
        <v>443</v>
      </c>
      <c r="C103" s="43" t="s">
        <v>345</v>
      </c>
      <c r="D103" s="43" t="s">
        <v>375</v>
      </c>
      <c r="E103" s="43" t="s">
        <v>370</v>
      </c>
    </row>
    <row r="104" spans="1:5">
      <c r="A104" s="43" t="s">
        <v>379</v>
      </c>
      <c r="B104" s="43" t="s">
        <v>443</v>
      </c>
      <c r="C104" s="43" t="s">
        <v>345</v>
      </c>
      <c r="D104" s="43" t="s">
        <v>389</v>
      </c>
      <c r="E104" s="43" t="s">
        <v>461</v>
      </c>
    </row>
    <row r="105" spans="1:5">
      <c r="A105" s="43" t="s">
        <v>379</v>
      </c>
      <c r="B105" s="43" t="s">
        <v>443</v>
      </c>
      <c r="C105" s="43" t="s">
        <v>345</v>
      </c>
      <c r="D105" s="43" t="s">
        <v>389</v>
      </c>
      <c r="E105" s="43" t="s">
        <v>462</v>
      </c>
    </row>
    <row r="106" spans="1:5">
      <c r="A106" s="43" t="s">
        <v>379</v>
      </c>
      <c r="B106" s="43" t="s">
        <v>443</v>
      </c>
      <c r="C106" s="43" t="s">
        <v>345</v>
      </c>
      <c r="D106" s="43" t="s">
        <v>389</v>
      </c>
      <c r="E106" s="43" t="s">
        <v>463</v>
      </c>
    </row>
    <row r="107" spans="1:5">
      <c r="A107" s="43" t="s">
        <v>379</v>
      </c>
      <c r="B107" s="43" t="s">
        <v>443</v>
      </c>
      <c r="C107" s="43" t="s">
        <v>345</v>
      </c>
      <c r="D107" s="43" t="s">
        <v>389</v>
      </c>
      <c r="E107" s="43" t="s">
        <v>464</v>
      </c>
    </row>
    <row r="108" spans="1:5">
      <c r="A108" s="43" t="s">
        <v>379</v>
      </c>
      <c r="B108" s="43" t="s">
        <v>443</v>
      </c>
      <c r="C108" s="43" t="s">
        <v>345</v>
      </c>
      <c r="D108" s="43" t="s">
        <v>389</v>
      </c>
      <c r="E108" s="43" t="s">
        <v>465</v>
      </c>
    </row>
    <row r="109" spans="1:5">
      <c r="A109" s="43" t="s">
        <v>379</v>
      </c>
      <c r="B109" s="43" t="s">
        <v>443</v>
      </c>
      <c r="C109" s="43" t="s">
        <v>345</v>
      </c>
      <c r="D109" s="43" t="s">
        <v>389</v>
      </c>
      <c r="E109" s="43" t="s">
        <v>466</v>
      </c>
    </row>
    <row r="110" spans="1:5">
      <c r="A110" s="43" t="s">
        <v>379</v>
      </c>
      <c r="B110" s="43" t="s">
        <v>443</v>
      </c>
      <c r="C110" s="43" t="s">
        <v>345</v>
      </c>
      <c r="D110" s="43" t="s">
        <v>389</v>
      </c>
      <c r="E110" s="43" t="s">
        <v>467</v>
      </c>
    </row>
    <row r="111" spans="1:5">
      <c r="A111" s="43" t="s">
        <v>379</v>
      </c>
      <c r="B111" s="43" t="s">
        <v>443</v>
      </c>
      <c r="C111" s="43" t="s">
        <v>345</v>
      </c>
      <c r="D111" s="43" t="s">
        <v>389</v>
      </c>
      <c r="E111" s="43" t="s">
        <v>468</v>
      </c>
    </row>
    <row r="112" spans="1:5">
      <c r="A112" s="43" t="s">
        <v>379</v>
      </c>
      <c r="B112" s="43" t="s">
        <v>443</v>
      </c>
      <c r="C112" s="43" t="s">
        <v>345</v>
      </c>
      <c r="D112" s="43" t="s">
        <v>389</v>
      </c>
      <c r="E112" s="43" t="s">
        <v>469</v>
      </c>
    </row>
    <row r="113" spans="1:5">
      <c r="A113" s="43" t="s">
        <v>379</v>
      </c>
      <c r="B113" s="43" t="s">
        <v>443</v>
      </c>
      <c r="C113" s="43" t="s">
        <v>345</v>
      </c>
      <c r="D113" s="43" t="s">
        <v>389</v>
      </c>
      <c r="E113" s="43" t="s">
        <v>470</v>
      </c>
    </row>
    <row r="114" spans="1:5">
      <c r="A114" s="43" t="s">
        <v>379</v>
      </c>
      <c r="B114" s="43" t="s">
        <v>443</v>
      </c>
      <c r="C114" s="43" t="s">
        <v>345</v>
      </c>
      <c r="D114" s="43" t="s">
        <v>471</v>
      </c>
      <c r="E114" s="43" t="s">
        <v>471</v>
      </c>
    </row>
    <row r="115" spans="1:5">
      <c r="A115" s="43" t="s">
        <v>379</v>
      </c>
      <c r="B115" s="43" t="s">
        <v>443</v>
      </c>
      <c r="C115" s="43" t="s">
        <v>345</v>
      </c>
      <c r="D115" s="43" t="s">
        <v>397</v>
      </c>
      <c r="E115" s="43" t="s">
        <v>472</v>
      </c>
    </row>
    <row r="116" spans="1:5">
      <c r="A116" s="43" t="s">
        <v>379</v>
      </c>
      <c r="B116" s="43" t="s">
        <v>443</v>
      </c>
      <c r="C116" s="43" t="s">
        <v>345</v>
      </c>
      <c r="D116" s="43" t="s">
        <v>397</v>
      </c>
      <c r="E116" s="43" t="s">
        <v>473</v>
      </c>
    </row>
    <row r="117" spans="1:5">
      <c r="A117" s="43" t="s">
        <v>379</v>
      </c>
      <c r="B117" s="43" t="s">
        <v>443</v>
      </c>
      <c r="C117" s="43" t="s">
        <v>345</v>
      </c>
      <c r="D117" s="43" t="s">
        <v>397</v>
      </c>
      <c r="E117" s="43" t="s">
        <v>474</v>
      </c>
    </row>
    <row r="118" spans="1:5">
      <c r="A118" s="43" t="s">
        <v>379</v>
      </c>
      <c r="B118" s="43" t="s">
        <v>443</v>
      </c>
      <c r="C118" s="43" t="s">
        <v>345</v>
      </c>
      <c r="D118" s="43" t="s">
        <v>397</v>
      </c>
      <c r="E118" s="43" t="s">
        <v>475</v>
      </c>
    </row>
    <row r="119" spans="1:5">
      <c r="A119" s="43" t="s">
        <v>379</v>
      </c>
      <c r="B119" s="43" t="s">
        <v>443</v>
      </c>
      <c r="C119" s="43" t="s">
        <v>345</v>
      </c>
      <c r="D119" s="43" t="s">
        <v>397</v>
      </c>
      <c r="E119" s="43" t="s">
        <v>476</v>
      </c>
    </row>
    <row r="120" spans="1:5">
      <c r="A120" s="43" t="s">
        <v>379</v>
      </c>
      <c r="B120" s="43" t="s">
        <v>443</v>
      </c>
      <c r="C120" s="43" t="s">
        <v>345</v>
      </c>
      <c r="D120" s="43" t="s">
        <v>397</v>
      </c>
      <c r="E120" s="43" t="s">
        <v>477</v>
      </c>
    </row>
    <row r="121" spans="1:5">
      <c r="A121" s="43" t="s">
        <v>379</v>
      </c>
      <c r="B121" s="43" t="s">
        <v>443</v>
      </c>
      <c r="C121" s="43" t="s">
        <v>345</v>
      </c>
      <c r="D121" s="43" t="s">
        <v>397</v>
      </c>
      <c r="E121" s="43" t="s">
        <v>478</v>
      </c>
    </row>
    <row r="122" spans="1:5">
      <c r="A122" s="43" t="s">
        <v>379</v>
      </c>
      <c r="B122" s="43" t="s">
        <v>443</v>
      </c>
      <c r="C122" s="43" t="s">
        <v>345</v>
      </c>
      <c r="D122" s="43" t="s">
        <v>397</v>
      </c>
      <c r="E122" s="43" t="s">
        <v>479</v>
      </c>
    </row>
    <row r="123" spans="1:5">
      <c r="A123" s="43" t="s">
        <v>379</v>
      </c>
      <c r="B123" s="43" t="s">
        <v>443</v>
      </c>
      <c r="C123" s="43" t="s">
        <v>345</v>
      </c>
      <c r="D123" s="43" t="s">
        <v>397</v>
      </c>
      <c r="E123" s="43" t="s">
        <v>480</v>
      </c>
    </row>
    <row r="124" spans="1:5">
      <c r="A124" s="43" t="s">
        <v>379</v>
      </c>
      <c r="B124" s="43" t="s">
        <v>443</v>
      </c>
      <c r="C124" s="43" t="s">
        <v>345</v>
      </c>
      <c r="D124" s="43" t="s">
        <v>397</v>
      </c>
      <c r="E124" s="43" t="s">
        <v>481</v>
      </c>
    </row>
    <row r="125" spans="1:5">
      <c r="A125" s="43" t="s">
        <v>379</v>
      </c>
      <c r="B125" s="43" t="s">
        <v>443</v>
      </c>
      <c r="C125" s="43" t="s">
        <v>345</v>
      </c>
      <c r="D125" s="43" t="s">
        <v>377</v>
      </c>
      <c r="E125" s="43" t="s">
        <v>482</v>
      </c>
    </row>
    <row r="126" spans="1:5">
      <c r="A126" s="43" t="s">
        <v>379</v>
      </c>
      <c r="B126" s="43" t="s">
        <v>443</v>
      </c>
      <c r="C126" s="43" t="s">
        <v>345</v>
      </c>
      <c r="D126" s="43" t="s">
        <v>377</v>
      </c>
      <c r="E126" s="43" t="s">
        <v>483</v>
      </c>
    </row>
    <row r="127" spans="1:5">
      <c r="A127" s="43" t="s">
        <v>379</v>
      </c>
      <c r="B127" s="43" t="s">
        <v>443</v>
      </c>
      <c r="C127" s="43" t="s">
        <v>345</v>
      </c>
      <c r="D127" s="43" t="s">
        <v>377</v>
      </c>
      <c r="E127" s="43" t="s">
        <v>484</v>
      </c>
    </row>
    <row r="128" spans="1:5">
      <c r="A128" s="43" t="s">
        <v>379</v>
      </c>
      <c r="B128" s="43" t="s">
        <v>443</v>
      </c>
      <c r="C128" s="43" t="s">
        <v>345</v>
      </c>
      <c r="D128" s="43" t="s">
        <v>377</v>
      </c>
      <c r="E128" s="43" t="s">
        <v>485</v>
      </c>
    </row>
    <row r="129" spans="1:5">
      <c r="A129" s="43" t="s">
        <v>379</v>
      </c>
      <c r="B129" s="43" t="s">
        <v>443</v>
      </c>
      <c r="C129" s="43" t="s">
        <v>345</v>
      </c>
      <c r="D129" s="43" t="s">
        <v>377</v>
      </c>
      <c r="E129" s="43" t="s">
        <v>486</v>
      </c>
    </row>
    <row r="130" spans="1:5">
      <c r="A130" s="43" t="s">
        <v>379</v>
      </c>
      <c r="B130" s="43" t="s">
        <v>443</v>
      </c>
      <c r="C130" s="43" t="s">
        <v>345</v>
      </c>
      <c r="D130" s="43" t="s">
        <v>377</v>
      </c>
      <c r="E130" s="43" t="s">
        <v>487</v>
      </c>
    </row>
    <row r="131" spans="1:5">
      <c r="A131" s="43" t="s">
        <v>379</v>
      </c>
      <c r="B131" s="43" t="s">
        <v>443</v>
      </c>
      <c r="C131" s="43" t="s">
        <v>345</v>
      </c>
      <c r="D131" s="43" t="s">
        <v>377</v>
      </c>
      <c r="E131" s="43" t="s">
        <v>488</v>
      </c>
    </row>
    <row r="132" spans="1:5">
      <c r="A132" s="43" t="s">
        <v>379</v>
      </c>
      <c r="B132" s="43" t="s">
        <v>443</v>
      </c>
      <c r="C132" s="43" t="s">
        <v>345</v>
      </c>
      <c r="D132" s="43" t="s">
        <v>377</v>
      </c>
      <c r="E132" s="43" t="s">
        <v>489</v>
      </c>
    </row>
    <row r="133" spans="1:5">
      <c r="A133" s="43" t="s">
        <v>379</v>
      </c>
      <c r="B133" s="43" t="s">
        <v>443</v>
      </c>
      <c r="C133" s="43" t="s">
        <v>345</v>
      </c>
      <c r="D133" s="43" t="s">
        <v>377</v>
      </c>
      <c r="E133" s="43" t="s">
        <v>490</v>
      </c>
    </row>
    <row r="134" spans="1:5">
      <c r="A134" s="43" t="s">
        <v>379</v>
      </c>
      <c r="B134" s="43" t="s">
        <v>443</v>
      </c>
      <c r="C134" s="43" t="s">
        <v>345</v>
      </c>
      <c r="D134" s="43" t="s">
        <v>377</v>
      </c>
      <c r="E134" s="43" t="s">
        <v>491</v>
      </c>
    </row>
    <row r="135" spans="1:5">
      <c r="A135" s="43" t="s">
        <v>379</v>
      </c>
      <c r="B135" s="43" t="s">
        <v>443</v>
      </c>
      <c r="C135" s="43" t="s">
        <v>345</v>
      </c>
      <c r="D135" s="43" t="s">
        <v>377</v>
      </c>
      <c r="E135" s="43" t="s">
        <v>492</v>
      </c>
    </row>
    <row r="136" spans="1:5">
      <c r="A136" s="43" t="s">
        <v>379</v>
      </c>
      <c r="B136" s="43" t="s">
        <v>443</v>
      </c>
      <c r="C136" s="43" t="s">
        <v>345</v>
      </c>
      <c r="D136" s="43" t="s">
        <v>377</v>
      </c>
      <c r="E136" s="43" t="s">
        <v>370</v>
      </c>
    </row>
    <row r="137" spans="1:5">
      <c r="A137" s="43" t="s">
        <v>379</v>
      </c>
      <c r="B137" s="43" t="s">
        <v>443</v>
      </c>
      <c r="C137" s="43" t="s">
        <v>345</v>
      </c>
      <c r="D137" s="43" t="s">
        <v>377</v>
      </c>
      <c r="E137" s="43" t="s">
        <v>493</v>
      </c>
    </row>
    <row r="138" spans="1:5">
      <c r="A138" s="43" t="s">
        <v>379</v>
      </c>
      <c r="B138" s="43" t="s">
        <v>443</v>
      </c>
      <c r="C138" s="43" t="s">
        <v>345</v>
      </c>
      <c r="D138" s="43" t="s">
        <v>377</v>
      </c>
      <c r="E138" s="43" t="s">
        <v>494</v>
      </c>
    </row>
    <row r="139" spans="1:5">
      <c r="A139" s="43" t="s">
        <v>379</v>
      </c>
      <c r="B139" s="43" t="s">
        <v>443</v>
      </c>
      <c r="C139" s="43" t="s">
        <v>345</v>
      </c>
      <c r="D139" s="43" t="s">
        <v>377</v>
      </c>
      <c r="E139" s="43" t="s">
        <v>495</v>
      </c>
    </row>
    <row r="140" spans="1:5">
      <c r="A140" s="43" t="s">
        <v>379</v>
      </c>
      <c r="B140" s="43" t="s">
        <v>443</v>
      </c>
      <c r="C140" s="43" t="s">
        <v>345</v>
      </c>
      <c r="D140" s="43" t="s">
        <v>377</v>
      </c>
      <c r="E140" s="43" t="s">
        <v>496</v>
      </c>
    </row>
    <row r="141" spans="1:5">
      <c r="A141" s="43" t="s">
        <v>379</v>
      </c>
      <c r="B141" s="43" t="s">
        <v>443</v>
      </c>
      <c r="C141" s="43" t="s">
        <v>345</v>
      </c>
      <c r="D141" s="43" t="s">
        <v>435</v>
      </c>
      <c r="E141" s="43" t="s">
        <v>497</v>
      </c>
    </row>
    <row r="142" spans="1:5">
      <c r="A142" s="43" t="s">
        <v>379</v>
      </c>
      <c r="B142" s="43" t="s">
        <v>443</v>
      </c>
      <c r="C142" s="43" t="s">
        <v>345</v>
      </c>
      <c r="D142" s="43" t="s">
        <v>435</v>
      </c>
      <c r="E142" s="43" t="s">
        <v>498</v>
      </c>
    </row>
    <row r="143" spans="1:5">
      <c r="A143" s="43" t="s">
        <v>379</v>
      </c>
      <c r="B143" s="43" t="s">
        <v>443</v>
      </c>
      <c r="C143" s="43" t="s">
        <v>345</v>
      </c>
      <c r="D143" s="43" t="s">
        <v>435</v>
      </c>
      <c r="E143" s="43" t="s">
        <v>499</v>
      </c>
    </row>
    <row r="144" spans="1:5">
      <c r="A144" s="43" t="s">
        <v>379</v>
      </c>
      <c r="B144" s="43" t="s">
        <v>443</v>
      </c>
      <c r="C144" s="43" t="s">
        <v>345</v>
      </c>
      <c r="D144" s="43" t="s">
        <v>500</v>
      </c>
      <c r="E144" s="43" t="s">
        <v>501</v>
      </c>
    </row>
    <row r="145" spans="1:5">
      <c r="A145" s="43" t="s">
        <v>379</v>
      </c>
      <c r="B145" s="43" t="s">
        <v>443</v>
      </c>
      <c r="C145" s="43" t="s">
        <v>345</v>
      </c>
      <c r="D145" s="43" t="s">
        <v>500</v>
      </c>
      <c r="E145" s="43" t="s">
        <v>502</v>
      </c>
    </row>
    <row r="146" spans="1:5">
      <c r="A146" s="43" t="s">
        <v>379</v>
      </c>
      <c r="B146" s="43" t="s">
        <v>443</v>
      </c>
      <c r="C146" s="43" t="s">
        <v>345</v>
      </c>
      <c r="D146" s="43" t="s">
        <v>500</v>
      </c>
      <c r="E146" s="43" t="s">
        <v>503</v>
      </c>
    </row>
    <row r="147" spans="1:5">
      <c r="A147" s="43" t="s">
        <v>379</v>
      </c>
      <c r="B147" s="43" t="s">
        <v>443</v>
      </c>
      <c r="C147" s="43" t="s">
        <v>345</v>
      </c>
      <c r="D147" s="43" t="s">
        <v>500</v>
      </c>
      <c r="E147" s="43" t="s">
        <v>504</v>
      </c>
    </row>
    <row r="148" spans="1:5">
      <c r="A148" s="43" t="s">
        <v>379</v>
      </c>
      <c r="B148" s="43" t="s">
        <v>443</v>
      </c>
      <c r="C148" s="43" t="s">
        <v>345</v>
      </c>
      <c r="D148" s="43" t="s">
        <v>500</v>
      </c>
      <c r="E148" s="43" t="s">
        <v>505</v>
      </c>
    </row>
    <row r="149" spans="1:5">
      <c r="A149" s="43" t="s">
        <v>379</v>
      </c>
      <c r="B149" s="43" t="s">
        <v>443</v>
      </c>
      <c r="C149" s="43" t="s">
        <v>345</v>
      </c>
      <c r="D149" s="43" t="s">
        <v>500</v>
      </c>
      <c r="E149" s="43" t="s">
        <v>506</v>
      </c>
    </row>
    <row r="150" spans="1:5">
      <c r="A150" s="43" t="s">
        <v>379</v>
      </c>
      <c r="B150" s="43" t="s">
        <v>443</v>
      </c>
      <c r="C150" s="43" t="s">
        <v>345</v>
      </c>
      <c r="D150" s="43" t="s">
        <v>500</v>
      </c>
      <c r="E150" s="43" t="s">
        <v>507</v>
      </c>
    </row>
    <row r="151" spans="1:5">
      <c r="A151" s="43" t="s">
        <v>379</v>
      </c>
      <c r="B151" s="43" t="s">
        <v>443</v>
      </c>
      <c r="C151" s="43" t="s">
        <v>345</v>
      </c>
      <c r="D151" s="43" t="s">
        <v>500</v>
      </c>
      <c r="E151" s="43" t="s">
        <v>508</v>
      </c>
    </row>
    <row r="152" spans="1:5">
      <c r="A152" s="43" t="s">
        <v>379</v>
      </c>
      <c r="B152" s="43" t="s">
        <v>443</v>
      </c>
      <c r="C152" s="43" t="s">
        <v>345</v>
      </c>
      <c r="D152" s="43" t="s">
        <v>500</v>
      </c>
      <c r="E152" s="43" t="s">
        <v>509</v>
      </c>
    </row>
    <row r="153" spans="1:5">
      <c r="A153" s="43" t="s">
        <v>379</v>
      </c>
      <c r="B153" s="43" t="s">
        <v>443</v>
      </c>
      <c r="C153" s="43" t="s">
        <v>345</v>
      </c>
      <c r="D153" s="43" t="s">
        <v>500</v>
      </c>
      <c r="E153" s="43" t="s">
        <v>510</v>
      </c>
    </row>
    <row r="154" spans="1:5">
      <c r="A154" s="43" t="s">
        <v>379</v>
      </c>
      <c r="B154" s="43" t="s">
        <v>443</v>
      </c>
      <c r="C154" s="43" t="s">
        <v>345</v>
      </c>
      <c r="D154" s="43" t="s">
        <v>500</v>
      </c>
      <c r="E154" s="43" t="s">
        <v>511</v>
      </c>
    </row>
    <row r="155" spans="1:5">
      <c r="A155" s="43" t="s">
        <v>379</v>
      </c>
      <c r="B155" s="43" t="s">
        <v>443</v>
      </c>
      <c r="C155" s="43" t="s">
        <v>345</v>
      </c>
      <c r="D155" s="43" t="s">
        <v>500</v>
      </c>
      <c r="E155" s="43" t="s">
        <v>512</v>
      </c>
    </row>
    <row r="156" spans="1:5">
      <c r="A156" s="43" t="s">
        <v>379</v>
      </c>
      <c r="B156" s="43" t="s">
        <v>443</v>
      </c>
      <c r="C156" s="43" t="s">
        <v>345</v>
      </c>
      <c r="D156" s="43" t="s">
        <v>500</v>
      </c>
      <c r="E156" s="43" t="s">
        <v>513</v>
      </c>
    </row>
    <row r="157" spans="1:5">
      <c r="A157" s="43" t="s">
        <v>379</v>
      </c>
      <c r="B157" s="43" t="s">
        <v>443</v>
      </c>
      <c r="C157" s="43" t="s">
        <v>345</v>
      </c>
      <c r="D157" s="43" t="s">
        <v>500</v>
      </c>
      <c r="E157" s="43" t="s">
        <v>514</v>
      </c>
    </row>
    <row r="158" spans="1:5">
      <c r="A158" s="43" t="s">
        <v>379</v>
      </c>
      <c r="B158" s="43" t="s">
        <v>443</v>
      </c>
      <c r="C158" s="43" t="s">
        <v>345</v>
      </c>
      <c r="D158" s="43" t="s">
        <v>500</v>
      </c>
      <c r="E158" s="44" t="s">
        <v>515</v>
      </c>
    </row>
    <row r="159" spans="1:5">
      <c r="A159" s="43" t="s">
        <v>516</v>
      </c>
      <c r="B159" s="43" t="s">
        <v>517</v>
      </c>
      <c r="C159" s="43" t="s">
        <v>345</v>
      </c>
      <c r="D159" s="43" t="s">
        <v>389</v>
      </c>
      <c r="E159" s="43" t="s">
        <v>518</v>
      </c>
    </row>
    <row r="160" spans="1:5">
      <c r="A160" s="43" t="s">
        <v>516</v>
      </c>
      <c r="B160" s="43" t="s">
        <v>517</v>
      </c>
      <c r="C160" s="43" t="s">
        <v>345</v>
      </c>
      <c r="D160" s="43" t="s">
        <v>377</v>
      </c>
      <c r="E160" s="43" t="s">
        <v>519</v>
      </c>
    </row>
    <row r="161" spans="1:5">
      <c r="A161" s="43" t="s">
        <v>516</v>
      </c>
      <c r="B161" s="43" t="s">
        <v>517</v>
      </c>
      <c r="C161" s="43" t="s">
        <v>345</v>
      </c>
      <c r="D161" s="43" t="s">
        <v>500</v>
      </c>
      <c r="E161" s="43" t="s">
        <v>520</v>
      </c>
    </row>
    <row r="162" spans="1:5">
      <c r="A162" s="43" t="s">
        <v>516</v>
      </c>
      <c r="B162" s="43" t="s">
        <v>517</v>
      </c>
      <c r="C162" s="43" t="s">
        <v>345</v>
      </c>
      <c r="D162" s="43" t="s">
        <v>500</v>
      </c>
      <c r="E162" s="43" t="s">
        <v>521</v>
      </c>
    </row>
    <row r="163" spans="1:5">
      <c r="A163" s="43" t="s">
        <v>516</v>
      </c>
      <c r="B163" s="43" t="s">
        <v>517</v>
      </c>
      <c r="C163" s="43" t="s">
        <v>345</v>
      </c>
      <c r="D163" s="43" t="s">
        <v>500</v>
      </c>
      <c r="E163" s="43" t="s">
        <v>522</v>
      </c>
    </row>
    <row r="164" spans="1:5">
      <c r="A164" s="43" t="s">
        <v>523</v>
      </c>
      <c r="B164" s="43" t="s">
        <v>523</v>
      </c>
      <c r="C164" s="43" t="s">
        <v>345</v>
      </c>
      <c r="D164" s="43" t="s">
        <v>523</v>
      </c>
      <c r="E164" s="43" t="s">
        <v>523</v>
      </c>
    </row>
    <row r="165" spans="1:5">
      <c r="A165" s="45" t="s">
        <v>523</v>
      </c>
      <c r="B165" s="45" t="s">
        <v>523</v>
      </c>
      <c r="C165" s="45" t="s">
        <v>523</v>
      </c>
      <c r="D165" s="45" t="s">
        <v>523</v>
      </c>
      <c r="E165" s="45" t="s">
        <v>523</v>
      </c>
    </row>
    <row r="166" spans="1:5">
      <c r="A166" s="38" t="s">
        <v>523</v>
      </c>
      <c r="B166" s="38" t="s">
        <v>523</v>
      </c>
      <c r="C166" s="38" t="s">
        <v>523</v>
      </c>
      <c r="D166" s="38" t="s">
        <v>523</v>
      </c>
      <c r="E166" s="38" t="s">
        <v>523</v>
      </c>
    </row>
    <row r="167" spans="1:5">
      <c r="A167" s="38" t="s">
        <v>523</v>
      </c>
      <c r="B167" s="38" t="s">
        <v>523</v>
      </c>
      <c r="C167" s="38" t="s">
        <v>523</v>
      </c>
      <c r="D167" s="38" t="s">
        <v>523</v>
      </c>
      <c r="E167" s="38" t="s">
        <v>523</v>
      </c>
    </row>
    <row r="168" spans="1:5">
      <c r="A168" s="38" t="s">
        <v>523</v>
      </c>
      <c r="B168" s="38" t="s">
        <v>523</v>
      </c>
      <c r="C168" s="38" t="s">
        <v>523</v>
      </c>
      <c r="D168" s="38" t="s">
        <v>523</v>
      </c>
      <c r="E168" s="38" t="s">
        <v>523</v>
      </c>
    </row>
    <row r="169" spans="1:5">
      <c r="A169" s="38" t="s">
        <v>523</v>
      </c>
      <c r="B169" s="38" t="s">
        <v>523</v>
      </c>
      <c r="C169" s="38" t="s">
        <v>523</v>
      </c>
      <c r="D169" s="38" t="s">
        <v>523</v>
      </c>
      <c r="E169" s="38" t="s">
        <v>523</v>
      </c>
    </row>
    <row r="170" spans="1:5">
      <c r="A170" s="38" t="s">
        <v>523</v>
      </c>
      <c r="B170" s="38" t="s">
        <v>523</v>
      </c>
      <c r="C170" s="38" t="s">
        <v>523</v>
      </c>
      <c r="D170" s="38" t="s">
        <v>523</v>
      </c>
      <c r="E170" s="38" t="s">
        <v>523</v>
      </c>
    </row>
  </sheetData>
  <dataValidations count="1">
    <dataValidation type="list" allowBlank="1" showInputMessage="1" showErrorMessage="1" sqref="C3:C164">
      <formula1>"天津市,安徽省,河南省,河北省,山东省,北京市"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6"/>
  <sheetViews>
    <sheetView workbookViewId="0">
      <pane ySplit="3" topLeftCell="A4" activePane="bottomLeft" state="frozen"/>
      <selection/>
      <selection pane="bottomLeft" activeCell="G129" sqref="G129"/>
    </sheetView>
  </sheetViews>
  <sheetFormatPr defaultColWidth="9" defaultRowHeight="14.25" outlineLevelCol="5"/>
  <cols>
    <col min="1" max="1" width="23.125" style="21" customWidth="1"/>
    <col min="2" max="2" width="7.5" style="21" customWidth="1"/>
    <col min="3" max="3" width="11.25" style="21" customWidth="1"/>
    <col min="4" max="4" width="10.375" style="21" customWidth="1"/>
    <col min="5" max="6" width="11.25" style="21" customWidth="1"/>
  </cols>
  <sheetData>
    <row r="1" ht="15" spans="1:6">
      <c r="F1" s="21" t="s">
        <v>524</v>
      </c>
    </row>
    <row r="2" spans="1:6">
      <c r="A2" s="22" t="s">
        <v>525</v>
      </c>
      <c r="B2" s="22"/>
      <c r="C2" s="23" t="s">
        <v>526</v>
      </c>
      <c r="D2" s="24"/>
      <c r="E2" s="24"/>
      <c r="F2" s="25"/>
    </row>
    <row r="3" ht="28.5" spans="1:6">
      <c r="A3" s="26" t="s">
        <v>527</v>
      </c>
      <c r="B3" s="26" t="s">
        <v>528</v>
      </c>
      <c r="C3" s="27" t="s">
        <v>529</v>
      </c>
      <c r="D3" s="26" t="s">
        <v>530</v>
      </c>
      <c r="E3" s="26" t="s">
        <v>531</v>
      </c>
      <c r="F3" s="26" t="s">
        <v>532</v>
      </c>
    </row>
    <row r="4" spans="1:6">
      <c r="A4" s="28" t="s">
        <v>345</v>
      </c>
      <c r="B4" s="29" t="s">
        <v>533</v>
      </c>
      <c r="C4" s="30">
        <v>6088393.05</v>
      </c>
      <c r="D4" s="31">
        <v>96369.28</v>
      </c>
      <c r="E4" s="31">
        <v>3918237.48</v>
      </c>
      <c r="F4" s="31">
        <v>2073786.29</v>
      </c>
    </row>
    <row r="5" spans="1:6">
      <c r="A5" s="28" t="s">
        <v>500</v>
      </c>
      <c r="B5" s="29" t="s">
        <v>534</v>
      </c>
      <c r="C5" s="30">
        <v>499616.86</v>
      </c>
      <c r="D5" s="31">
        <v>223.75</v>
      </c>
      <c r="E5" s="31">
        <v>430979.94</v>
      </c>
      <c r="F5" s="31">
        <v>68413.17</v>
      </c>
    </row>
    <row r="6" spans="1:6">
      <c r="A6" s="32" t="s">
        <v>535</v>
      </c>
      <c r="B6" s="33" t="s">
        <v>536</v>
      </c>
      <c r="C6" s="30">
        <v>1692.12</v>
      </c>
      <c r="D6" s="34">
        <v>0</v>
      </c>
      <c r="E6" s="34">
        <v>1692.12</v>
      </c>
      <c r="F6" s="34">
        <v>0</v>
      </c>
    </row>
    <row r="7" spans="1:6">
      <c r="A7" s="32" t="s">
        <v>537</v>
      </c>
      <c r="B7" s="33" t="s">
        <v>538</v>
      </c>
      <c r="C7" s="30">
        <v>185.8</v>
      </c>
      <c r="D7" s="34">
        <v>0</v>
      </c>
      <c r="E7" s="34">
        <v>185.34</v>
      </c>
      <c r="F7" s="34">
        <v>0.46</v>
      </c>
    </row>
    <row r="8" spans="1:6">
      <c r="A8" s="32" t="s">
        <v>539</v>
      </c>
      <c r="B8" s="33" t="s">
        <v>540</v>
      </c>
      <c r="C8" s="30">
        <v>1313.06</v>
      </c>
      <c r="D8" s="34">
        <v>0</v>
      </c>
      <c r="E8" s="34">
        <v>1313.06</v>
      </c>
      <c r="F8" s="34">
        <v>0</v>
      </c>
    </row>
    <row r="9" spans="1:6">
      <c r="A9" s="32" t="s">
        <v>520</v>
      </c>
      <c r="B9" s="33" t="s">
        <v>541</v>
      </c>
      <c r="C9" s="30">
        <v>1111.98</v>
      </c>
      <c r="D9" s="34">
        <v>0</v>
      </c>
      <c r="E9" s="34">
        <v>1079.79</v>
      </c>
      <c r="F9" s="34">
        <v>32.19</v>
      </c>
    </row>
    <row r="10" spans="1:6">
      <c r="A10" s="32" t="s">
        <v>542</v>
      </c>
      <c r="B10" s="33" t="s">
        <v>543</v>
      </c>
      <c r="C10" s="30">
        <v>722.65</v>
      </c>
      <c r="D10" s="34">
        <v>0</v>
      </c>
      <c r="E10" s="34">
        <v>722.65</v>
      </c>
      <c r="F10" s="34">
        <v>0</v>
      </c>
    </row>
    <row r="11" spans="1:6">
      <c r="A11" s="32" t="s">
        <v>507</v>
      </c>
      <c r="B11" s="33" t="s">
        <v>544</v>
      </c>
      <c r="C11" s="30">
        <v>39545.77</v>
      </c>
      <c r="D11" s="34">
        <v>0</v>
      </c>
      <c r="E11" s="34">
        <v>39514.54</v>
      </c>
      <c r="F11" s="34">
        <v>31.23</v>
      </c>
    </row>
    <row r="12" spans="1:6">
      <c r="A12" s="32" t="s">
        <v>515</v>
      </c>
      <c r="B12" s="33" t="s">
        <v>545</v>
      </c>
      <c r="C12" s="30">
        <v>15919.3</v>
      </c>
      <c r="D12" s="34">
        <v>0</v>
      </c>
      <c r="E12" s="34">
        <v>15104.28</v>
      </c>
      <c r="F12" s="34">
        <v>815.02</v>
      </c>
    </row>
    <row r="13" spans="1:6">
      <c r="A13" s="32" t="s">
        <v>503</v>
      </c>
      <c r="B13" s="33" t="s">
        <v>546</v>
      </c>
      <c r="C13" s="30">
        <v>16761.18</v>
      </c>
      <c r="D13" s="34">
        <v>0.23</v>
      </c>
      <c r="E13" s="34">
        <v>16760.95</v>
      </c>
      <c r="F13" s="34">
        <v>0</v>
      </c>
    </row>
    <row r="14" spans="1:6">
      <c r="A14" s="32" t="s">
        <v>522</v>
      </c>
      <c r="B14" s="33" t="s">
        <v>547</v>
      </c>
      <c r="C14" s="30">
        <v>20911.36</v>
      </c>
      <c r="D14" s="34">
        <v>1.31</v>
      </c>
      <c r="E14" s="34">
        <v>9968.9</v>
      </c>
      <c r="F14" s="34">
        <v>10941.15</v>
      </c>
    </row>
    <row r="15" spans="1:6">
      <c r="A15" s="32" t="s">
        <v>510</v>
      </c>
      <c r="B15" s="33" t="s">
        <v>548</v>
      </c>
      <c r="C15" s="30">
        <v>23135.03</v>
      </c>
      <c r="D15" s="34">
        <v>0</v>
      </c>
      <c r="E15" s="34">
        <v>22943.7</v>
      </c>
      <c r="F15" s="34">
        <v>191.33</v>
      </c>
    </row>
    <row r="16" spans="1:6">
      <c r="A16" s="32" t="s">
        <v>512</v>
      </c>
      <c r="B16" s="33" t="s">
        <v>549</v>
      </c>
      <c r="C16" s="30">
        <v>48289.94</v>
      </c>
      <c r="D16" s="34">
        <v>0.38</v>
      </c>
      <c r="E16" s="34">
        <v>34512.27</v>
      </c>
      <c r="F16" s="34">
        <v>13777.29</v>
      </c>
    </row>
    <row r="17" spans="1:6">
      <c r="A17" s="32" t="s">
        <v>514</v>
      </c>
      <c r="B17" s="33" t="s">
        <v>550</v>
      </c>
      <c r="C17" s="30">
        <v>27523.9</v>
      </c>
      <c r="D17" s="34">
        <v>3.42</v>
      </c>
      <c r="E17" s="34">
        <v>19906.12</v>
      </c>
      <c r="F17" s="34">
        <v>7614.36</v>
      </c>
    </row>
    <row r="18" spans="1:6">
      <c r="A18" s="32" t="s">
        <v>502</v>
      </c>
      <c r="B18" s="33" t="s">
        <v>551</v>
      </c>
      <c r="C18" s="30">
        <v>14038.05</v>
      </c>
      <c r="D18" s="34">
        <v>0</v>
      </c>
      <c r="E18" s="34">
        <v>13975.49</v>
      </c>
      <c r="F18" s="34">
        <v>62.56</v>
      </c>
    </row>
    <row r="19" spans="1:6">
      <c r="A19" s="32" t="s">
        <v>506</v>
      </c>
      <c r="B19" s="33" t="s">
        <v>552</v>
      </c>
      <c r="C19" s="30">
        <v>18090.36</v>
      </c>
      <c r="D19" s="34">
        <v>0.05</v>
      </c>
      <c r="E19" s="34">
        <v>18090.31</v>
      </c>
      <c r="F19" s="34">
        <v>0</v>
      </c>
    </row>
    <row r="20" spans="1:6">
      <c r="A20" s="32" t="s">
        <v>513</v>
      </c>
      <c r="B20" s="33" t="s">
        <v>553</v>
      </c>
      <c r="C20" s="30">
        <v>17495.64</v>
      </c>
      <c r="D20" s="34">
        <v>0.15</v>
      </c>
      <c r="E20" s="34">
        <v>7960.35</v>
      </c>
      <c r="F20" s="34">
        <v>9535.14</v>
      </c>
    </row>
    <row r="21" spans="1:6">
      <c r="A21" s="32" t="s">
        <v>505</v>
      </c>
      <c r="B21" s="33" t="s">
        <v>554</v>
      </c>
      <c r="C21" s="30">
        <v>33066.45</v>
      </c>
      <c r="D21" s="34">
        <v>0</v>
      </c>
      <c r="E21" s="34">
        <v>32753.63</v>
      </c>
      <c r="F21" s="34">
        <v>312.82</v>
      </c>
    </row>
    <row r="22" spans="1:6">
      <c r="A22" s="32" t="s">
        <v>521</v>
      </c>
      <c r="B22" s="33" t="s">
        <v>555</v>
      </c>
      <c r="C22" s="30">
        <v>35987.69</v>
      </c>
      <c r="D22" s="34">
        <v>218.21</v>
      </c>
      <c r="E22" s="34">
        <v>19148.03</v>
      </c>
      <c r="F22" s="34">
        <v>16621.45</v>
      </c>
    </row>
    <row r="23" spans="1:6">
      <c r="A23" s="32" t="s">
        <v>511</v>
      </c>
      <c r="B23" s="33" t="s">
        <v>556</v>
      </c>
      <c r="C23" s="30">
        <v>32508.78</v>
      </c>
      <c r="D23" s="34">
        <v>0</v>
      </c>
      <c r="E23" s="34">
        <v>24055.56</v>
      </c>
      <c r="F23" s="34">
        <v>8453.22</v>
      </c>
    </row>
    <row r="24" spans="1:6">
      <c r="A24" s="32" t="s">
        <v>501</v>
      </c>
      <c r="B24" s="33" t="s">
        <v>557</v>
      </c>
      <c r="C24" s="30">
        <v>38681.85</v>
      </c>
      <c r="D24" s="34">
        <v>0</v>
      </c>
      <c r="E24" s="34">
        <v>38671.71</v>
      </c>
      <c r="F24" s="34">
        <v>10.14</v>
      </c>
    </row>
    <row r="25" spans="1:6">
      <c r="A25" s="32" t="s">
        <v>445</v>
      </c>
      <c r="B25" s="33" t="s">
        <v>558</v>
      </c>
      <c r="C25" s="30">
        <v>57706.33</v>
      </c>
      <c r="D25" s="34">
        <v>0</v>
      </c>
      <c r="E25" s="34">
        <v>57697.94</v>
      </c>
      <c r="F25" s="34">
        <v>8.39</v>
      </c>
    </row>
    <row r="26" spans="1:6">
      <c r="A26" s="32" t="s">
        <v>508</v>
      </c>
      <c r="B26" s="33" t="s">
        <v>559</v>
      </c>
      <c r="C26" s="30">
        <v>22430.37</v>
      </c>
      <c r="D26" s="34">
        <v>0</v>
      </c>
      <c r="E26" s="34">
        <v>22430.37</v>
      </c>
      <c r="F26" s="34">
        <v>0</v>
      </c>
    </row>
    <row r="27" spans="1:6">
      <c r="A27" s="32" t="s">
        <v>509</v>
      </c>
      <c r="B27" s="33" t="s">
        <v>560</v>
      </c>
      <c r="C27" s="30">
        <v>32499.25</v>
      </c>
      <c r="D27" s="34">
        <v>0</v>
      </c>
      <c r="E27" s="34">
        <v>32492.83</v>
      </c>
      <c r="F27" s="34">
        <v>6.42</v>
      </c>
    </row>
    <row r="28" spans="1:6">
      <c r="A28" s="35" t="s">
        <v>384</v>
      </c>
      <c r="B28" s="36" t="s">
        <v>561</v>
      </c>
      <c r="C28" s="30">
        <v>506096.63</v>
      </c>
      <c r="D28" s="31">
        <v>72918.82</v>
      </c>
      <c r="E28" s="31">
        <v>322272.13</v>
      </c>
      <c r="F28" s="31">
        <v>110905.68</v>
      </c>
    </row>
    <row r="29" spans="1:6">
      <c r="A29" s="32" t="s">
        <v>446</v>
      </c>
      <c r="B29" s="33" t="s">
        <v>562</v>
      </c>
      <c r="C29" s="30">
        <v>3491.9</v>
      </c>
      <c r="D29" s="34">
        <v>50.72</v>
      </c>
      <c r="E29" s="34">
        <v>3331.93</v>
      </c>
      <c r="F29" s="34">
        <v>109.25</v>
      </c>
    </row>
    <row r="30" spans="1:6">
      <c r="A30" s="32" t="s">
        <v>447</v>
      </c>
      <c r="B30" s="33" t="s">
        <v>563</v>
      </c>
      <c r="C30" s="30">
        <v>4591.04</v>
      </c>
      <c r="D30" s="34">
        <v>0</v>
      </c>
      <c r="E30" s="34">
        <v>4414.41</v>
      </c>
      <c r="F30" s="34">
        <v>176.63</v>
      </c>
    </row>
    <row r="31" spans="1:6">
      <c r="A31" s="32" t="s">
        <v>448</v>
      </c>
      <c r="B31" s="33" t="s">
        <v>564</v>
      </c>
      <c r="C31" s="30">
        <v>8268.18</v>
      </c>
      <c r="D31" s="34">
        <v>215.95</v>
      </c>
      <c r="E31" s="34">
        <v>4006.44</v>
      </c>
      <c r="F31" s="34">
        <v>4045.79</v>
      </c>
    </row>
    <row r="32" spans="1:6">
      <c r="A32" s="32" t="s">
        <v>449</v>
      </c>
      <c r="B32" s="33" t="s">
        <v>565</v>
      </c>
      <c r="C32" s="30">
        <v>8177.64</v>
      </c>
      <c r="D32" s="34">
        <v>1.22</v>
      </c>
      <c r="E32" s="34">
        <v>6942.78</v>
      </c>
      <c r="F32" s="34">
        <v>1233.64</v>
      </c>
    </row>
    <row r="33" spans="1:6">
      <c r="A33" s="32" t="s">
        <v>385</v>
      </c>
      <c r="B33" s="33" t="s">
        <v>566</v>
      </c>
      <c r="C33" s="30">
        <v>61321.01</v>
      </c>
      <c r="D33" s="34">
        <v>12224.45</v>
      </c>
      <c r="E33" s="34">
        <v>36998.57</v>
      </c>
      <c r="F33" s="34">
        <v>12097.99</v>
      </c>
    </row>
    <row r="34" spans="1:6">
      <c r="A34" s="32" t="s">
        <v>451</v>
      </c>
      <c r="B34" s="33" t="s">
        <v>567</v>
      </c>
      <c r="C34" s="30">
        <v>61061.25</v>
      </c>
      <c r="D34" s="34">
        <v>0</v>
      </c>
      <c r="E34" s="34">
        <v>41839.31</v>
      </c>
      <c r="F34" s="34">
        <v>19221.94</v>
      </c>
    </row>
    <row r="35" spans="1:6">
      <c r="A35" s="32" t="s">
        <v>386</v>
      </c>
      <c r="B35" s="33" t="s">
        <v>568</v>
      </c>
      <c r="C35" s="30">
        <v>30576.5</v>
      </c>
      <c r="D35" s="34">
        <v>27201.92</v>
      </c>
      <c r="E35" s="34">
        <v>2011.18</v>
      </c>
      <c r="F35" s="34">
        <v>1363.4</v>
      </c>
    </row>
    <row r="36" spans="1:6">
      <c r="A36" s="32" t="s">
        <v>569</v>
      </c>
      <c r="B36" s="33" t="s">
        <v>570</v>
      </c>
      <c r="C36" s="30">
        <v>70487.34</v>
      </c>
      <c r="D36" s="34">
        <v>16381.75</v>
      </c>
      <c r="E36" s="34">
        <v>53373.51</v>
      </c>
      <c r="F36" s="34">
        <v>732.08</v>
      </c>
    </row>
    <row r="37" spans="1:6">
      <c r="A37" s="32" t="s">
        <v>571</v>
      </c>
      <c r="B37" s="33" t="s">
        <v>572</v>
      </c>
      <c r="C37" s="30">
        <v>65786.13</v>
      </c>
      <c r="D37" s="34">
        <v>14878.89</v>
      </c>
      <c r="E37" s="34">
        <v>50056.07</v>
      </c>
      <c r="F37" s="34">
        <v>851.17</v>
      </c>
    </row>
    <row r="38" spans="1:6">
      <c r="A38" s="32" t="s">
        <v>452</v>
      </c>
      <c r="B38" s="33" t="s">
        <v>573</v>
      </c>
      <c r="C38" s="30">
        <v>8551.27</v>
      </c>
      <c r="D38" s="34">
        <v>14.14</v>
      </c>
      <c r="E38" s="34">
        <v>1404.89</v>
      </c>
      <c r="F38" s="34">
        <v>7132.24</v>
      </c>
    </row>
    <row r="39" spans="1:6">
      <c r="A39" s="32" t="s">
        <v>455</v>
      </c>
      <c r="B39" s="33" t="s">
        <v>574</v>
      </c>
      <c r="C39" s="30">
        <v>66100.79</v>
      </c>
      <c r="D39" s="34">
        <v>121.22</v>
      </c>
      <c r="E39" s="34">
        <v>51768.86</v>
      </c>
      <c r="F39" s="34">
        <v>14210.71</v>
      </c>
    </row>
    <row r="40" spans="1:6">
      <c r="A40" s="32" t="s">
        <v>450</v>
      </c>
      <c r="B40" s="33" t="s">
        <v>575</v>
      </c>
      <c r="C40" s="30">
        <v>7505.89</v>
      </c>
      <c r="D40" s="34">
        <v>1268.34</v>
      </c>
      <c r="E40" s="34">
        <v>6190.89</v>
      </c>
      <c r="F40" s="34">
        <v>46.66</v>
      </c>
    </row>
    <row r="41" spans="1:6">
      <c r="A41" s="32" t="s">
        <v>453</v>
      </c>
      <c r="B41" s="33" t="s">
        <v>576</v>
      </c>
      <c r="C41" s="30">
        <v>26090.06</v>
      </c>
      <c r="D41" s="34">
        <v>10.26</v>
      </c>
      <c r="E41" s="34">
        <v>18450.42</v>
      </c>
      <c r="F41" s="34">
        <v>7629.38</v>
      </c>
    </row>
    <row r="42" spans="1:6">
      <c r="A42" s="32" t="s">
        <v>454</v>
      </c>
      <c r="B42" s="33" t="s">
        <v>577</v>
      </c>
      <c r="C42" s="30">
        <v>34457.82</v>
      </c>
      <c r="D42" s="34">
        <v>82.96</v>
      </c>
      <c r="E42" s="34">
        <v>13733.3</v>
      </c>
      <c r="F42" s="34">
        <v>20641.56</v>
      </c>
    </row>
    <row r="43" spans="1:6">
      <c r="A43" s="32" t="s">
        <v>457</v>
      </c>
      <c r="B43" s="33" t="s">
        <v>578</v>
      </c>
      <c r="C43" s="30">
        <v>49629.81</v>
      </c>
      <c r="D43" s="34">
        <v>467</v>
      </c>
      <c r="E43" s="34">
        <v>27749.57</v>
      </c>
      <c r="F43" s="34">
        <v>21413.24</v>
      </c>
    </row>
    <row r="44" spans="1:6">
      <c r="A44" s="35" t="s">
        <v>375</v>
      </c>
      <c r="B44" s="36" t="s">
        <v>579</v>
      </c>
      <c r="C44" s="30">
        <v>173153.76</v>
      </c>
      <c r="D44" s="31">
        <v>9401.85</v>
      </c>
      <c r="E44" s="31">
        <v>60028.71</v>
      </c>
      <c r="F44" s="31">
        <v>103723.2</v>
      </c>
    </row>
    <row r="45" spans="1:6">
      <c r="A45" s="32" t="s">
        <v>580</v>
      </c>
      <c r="B45" s="33" t="s">
        <v>581</v>
      </c>
      <c r="C45" s="30">
        <v>9251.23</v>
      </c>
      <c r="D45" s="34">
        <v>31.47</v>
      </c>
      <c r="E45" s="34">
        <v>357.17</v>
      </c>
      <c r="F45" s="34">
        <v>8862.59</v>
      </c>
    </row>
    <row r="46" spans="1:6">
      <c r="A46" s="32" t="s">
        <v>582</v>
      </c>
      <c r="B46" s="33" t="s">
        <v>583</v>
      </c>
      <c r="C46" s="30">
        <v>2129.4</v>
      </c>
      <c r="D46" s="34">
        <v>10.67</v>
      </c>
      <c r="E46" s="34">
        <v>915.35</v>
      </c>
      <c r="F46" s="34">
        <v>1203.38</v>
      </c>
    </row>
    <row r="47" spans="1:6">
      <c r="A47" s="32" t="s">
        <v>584</v>
      </c>
      <c r="B47" s="33" t="s">
        <v>585</v>
      </c>
      <c r="C47" s="30">
        <v>3138.7</v>
      </c>
      <c r="D47" s="34">
        <v>454.06</v>
      </c>
      <c r="E47" s="34">
        <v>1440.08</v>
      </c>
      <c r="F47" s="34">
        <v>1244.56</v>
      </c>
    </row>
    <row r="48" spans="1:6">
      <c r="A48" s="32" t="s">
        <v>586</v>
      </c>
      <c r="B48" s="33" t="s">
        <v>587</v>
      </c>
      <c r="C48" s="30">
        <v>30076.93</v>
      </c>
      <c r="D48" s="34">
        <v>3454.08</v>
      </c>
      <c r="E48" s="34">
        <v>6034.37</v>
      </c>
      <c r="F48" s="34">
        <v>20588.48</v>
      </c>
    </row>
    <row r="49" spans="1:6">
      <c r="A49" s="32" t="s">
        <v>588</v>
      </c>
      <c r="B49" s="33" t="s">
        <v>589</v>
      </c>
      <c r="C49" s="30">
        <v>24916.71</v>
      </c>
      <c r="D49" s="34">
        <v>205.71</v>
      </c>
      <c r="E49" s="34">
        <v>171.05</v>
      </c>
      <c r="F49" s="34">
        <v>24539.95</v>
      </c>
    </row>
    <row r="50" spans="1:6">
      <c r="A50" s="32" t="s">
        <v>458</v>
      </c>
      <c r="B50" s="33" t="s">
        <v>590</v>
      </c>
      <c r="C50" s="30">
        <v>58822.41</v>
      </c>
      <c r="D50" s="34">
        <v>4605.07</v>
      </c>
      <c r="E50" s="34">
        <v>42657.7</v>
      </c>
      <c r="F50" s="34">
        <v>11559.64</v>
      </c>
    </row>
    <row r="51" spans="1:6">
      <c r="A51" s="32" t="s">
        <v>459</v>
      </c>
      <c r="B51" s="33" t="s">
        <v>591</v>
      </c>
      <c r="C51" s="30">
        <v>44818.38</v>
      </c>
      <c r="D51" s="34">
        <v>640.79</v>
      </c>
      <c r="E51" s="34">
        <v>8452.99</v>
      </c>
      <c r="F51" s="34">
        <v>35724.6</v>
      </c>
    </row>
    <row r="52" spans="1:6">
      <c r="A52" s="35" t="s">
        <v>389</v>
      </c>
      <c r="B52" s="36" t="s">
        <v>592</v>
      </c>
      <c r="C52" s="30">
        <v>608523.3</v>
      </c>
      <c r="D52" s="31">
        <v>1669.87</v>
      </c>
      <c r="E52" s="31">
        <v>481881.47</v>
      </c>
      <c r="F52" s="31">
        <v>124971.96</v>
      </c>
    </row>
    <row r="53" spans="1:6">
      <c r="A53" s="32" t="s">
        <v>464</v>
      </c>
      <c r="B53" s="33" t="s">
        <v>593</v>
      </c>
      <c r="C53" s="30">
        <v>20470.17</v>
      </c>
      <c r="D53" s="34">
        <v>292.67</v>
      </c>
      <c r="E53" s="34">
        <v>18146.88</v>
      </c>
      <c r="F53" s="34">
        <v>2030.62</v>
      </c>
    </row>
    <row r="54" spans="1:6">
      <c r="A54" s="32" t="s">
        <v>463</v>
      </c>
      <c r="B54" s="33" t="s">
        <v>594</v>
      </c>
      <c r="C54" s="30">
        <v>19359.64</v>
      </c>
      <c r="D54" s="34">
        <v>394.28</v>
      </c>
      <c r="E54" s="34">
        <v>14477.78</v>
      </c>
      <c r="F54" s="34">
        <v>4487.58</v>
      </c>
    </row>
    <row r="55" spans="1:6">
      <c r="A55" s="32" t="s">
        <v>462</v>
      </c>
      <c r="B55" s="33" t="s">
        <v>595</v>
      </c>
      <c r="C55" s="30">
        <v>12063.66</v>
      </c>
      <c r="D55" s="34">
        <v>0</v>
      </c>
      <c r="E55" s="34">
        <v>6650.52</v>
      </c>
      <c r="F55" s="34">
        <v>5413.14</v>
      </c>
    </row>
    <row r="56" spans="1:6">
      <c r="A56" s="32" t="s">
        <v>461</v>
      </c>
      <c r="B56" s="33" t="s">
        <v>596</v>
      </c>
      <c r="C56" s="30">
        <v>12155.07</v>
      </c>
      <c r="D56" s="34">
        <v>0</v>
      </c>
      <c r="E56" s="34">
        <v>4043.46</v>
      </c>
      <c r="F56" s="34">
        <v>8111.61</v>
      </c>
    </row>
    <row r="57" spans="1:6">
      <c r="A57" s="32" t="s">
        <v>465</v>
      </c>
      <c r="B57" s="33" t="s">
        <v>597</v>
      </c>
      <c r="C57" s="30">
        <v>33177.87</v>
      </c>
      <c r="D57" s="34">
        <v>0</v>
      </c>
      <c r="E57" s="34">
        <v>29029.67</v>
      </c>
      <c r="F57" s="34">
        <v>4148.2</v>
      </c>
    </row>
    <row r="58" spans="1:6">
      <c r="A58" s="32" t="s">
        <v>470</v>
      </c>
      <c r="B58" s="33" t="s">
        <v>598</v>
      </c>
      <c r="C58" s="30">
        <v>48583.22</v>
      </c>
      <c r="D58" s="34">
        <v>0</v>
      </c>
      <c r="E58" s="34">
        <v>43575.47</v>
      </c>
      <c r="F58" s="34">
        <v>5007.75</v>
      </c>
    </row>
    <row r="59" spans="1:6">
      <c r="A59" s="32" t="s">
        <v>599</v>
      </c>
      <c r="B59" s="33" t="s">
        <v>600</v>
      </c>
      <c r="C59" s="30">
        <v>50515.6</v>
      </c>
      <c r="D59" s="34">
        <v>2.92</v>
      </c>
      <c r="E59" s="34">
        <v>50281.83</v>
      </c>
      <c r="F59" s="34">
        <v>230.85</v>
      </c>
    </row>
    <row r="60" spans="1:6">
      <c r="A60" s="32" t="s">
        <v>466</v>
      </c>
      <c r="B60" s="33" t="s">
        <v>601</v>
      </c>
      <c r="C60" s="30">
        <v>31276.46</v>
      </c>
      <c r="D60" s="34">
        <v>4.21</v>
      </c>
      <c r="E60" s="34">
        <v>31268.77</v>
      </c>
      <c r="F60" s="34">
        <v>3.48</v>
      </c>
    </row>
    <row r="61" spans="1:6">
      <c r="A61" s="32" t="s">
        <v>393</v>
      </c>
      <c r="B61" s="33" t="s">
        <v>602</v>
      </c>
      <c r="C61" s="30">
        <v>77095.84</v>
      </c>
      <c r="D61" s="34">
        <v>10.95</v>
      </c>
      <c r="E61" s="34">
        <v>77053.25</v>
      </c>
      <c r="F61" s="34">
        <v>31.64</v>
      </c>
    </row>
    <row r="62" spans="1:6">
      <c r="A62" s="32" t="s">
        <v>518</v>
      </c>
      <c r="B62" s="33" t="s">
        <v>603</v>
      </c>
      <c r="C62" s="30">
        <v>16243.46</v>
      </c>
      <c r="D62" s="34">
        <v>880.6</v>
      </c>
      <c r="E62" s="34">
        <v>5074.06</v>
      </c>
      <c r="F62" s="34">
        <v>10288.8</v>
      </c>
    </row>
    <row r="63" spans="1:6">
      <c r="A63" s="32" t="s">
        <v>468</v>
      </c>
      <c r="B63" s="33" t="s">
        <v>604</v>
      </c>
      <c r="C63" s="30">
        <v>26577.51</v>
      </c>
      <c r="D63" s="34">
        <v>45</v>
      </c>
      <c r="E63" s="34">
        <v>16168.81</v>
      </c>
      <c r="F63" s="34">
        <v>10363.7</v>
      </c>
    </row>
    <row r="64" spans="1:6">
      <c r="A64" s="32" t="s">
        <v>394</v>
      </c>
      <c r="B64" s="33" t="s">
        <v>605</v>
      </c>
      <c r="C64" s="30">
        <v>31635.9</v>
      </c>
      <c r="D64" s="34">
        <v>23.25</v>
      </c>
      <c r="E64" s="34">
        <v>20106.01</v>
      </c>
      <c r="F64" s="34">
        <v>11506.64</v>
      </c>
    </row>
    <row r="65" spans="1:6">
      <c r="A65" s="32" t="s">
        <v>395</v>
      </c>
      <c r="B65" s="33" t="s">
        <v>606</v>
      </c>
      <c r="C65" s="30">
        <v>23024.85</v>
      </c>
      <c r="D65" s="34">
        <v>10.14</v>
      </c>
      <c r="E65" s="34">
        <v>22637.65</v>
      </c>
      <c r="F65" s="34">
        <v>377.06</v>
      </c>
    </row>
    <row r="66" spans="1:6">
      <c r="A66" s="32" t="s">
        <v>390</v>
      </c>
      <c r="B66" s="33" t="s">
        <v>607</v>
      </c>
      <c r="C66" s="30">
        <v>20182.88</v>
      </c>
      <c r="D66" s="34">
        <v>0</v>
      </c>
      <c r="E66" s="34">
        <v>20182.88</v>
      </c>
      <c r="F66" s="34">
        <v>0</v>
      </c>
    </row>
    <row r="67" spans="1:6">
      <c r="A67" s="32" t="s">
        <v>392</v>
      </c>
      <c r="B67" s="33" t="s">
        <v>608</v>
      </c>
      <c r="C67" s="30">
        <v>30862.77</v>
      </c>
      <c r="D67" s="34">
        <v>0.96</v>
      </c>
      <c r="E67" s="34">
        <v>21751.83</v>
      </c>
      <c r="F67" s="34">
        <v>9109.98</v>
      </c>
    </row>
    <row r="68" spans="1:6">
      <c r="A68" s="32" t="s">
        <v>391</v>
      </c>
      <c r="B68" s="33" t="s">
        <v>609</v>
      </c>
      <c r="C68" s="30">
        <v>53961.48</v>
      </c>
      <c r="D68" s="34">
        <v>1.06</v>
      </c>
      <c r="E68" s="34">
        <v>52543.54</v>
      </c>
      <c r="F68" s="34">
        <v>1416.88</v>
      </c>
    </row>
    <row r="69" spans="1:6">
      <c r="A69" s="32" t="s">
        <v>396</v>
      </c>
      <c r="B69" s="33" t="s">
        <v>610</v>
      </c>
      <c r="C69" s="30">
        <v>49204.09</v>
      </c>
      <c r="D69" s="34">
        <v>3.3</v>
      </c>
      <c r="E69" s="34">
        <v>35634.38</v>
      </c>
      <c r="F69" s="34">
        <v>13566.41</v>
      </c>
    </row>
    <row r="70" spans="1:6">
      <c r="A70" s="32" t="s">
        <v>467</v>
      </c>
      <c r="B70" s="33" t="s">
        <v>611</v>
      </c>
      <c r="C70" s="30">
        <v>52132.83</v>
      </c>
      <c r="D70" s="34">
        <v>0.53</v>
      </c>
      <c r="E70" s="34">
        <v>13254.68</v>
      </c>
      <c r="F70" s="34">
        <v>38877.62</v>
      </c>
    </row>
    <row r="71" spans="1:6">
      <c r="A71" s="35" t="s">
        <v>397</v>
      </c>
      <c r="B71" s="36" t="s">
        <v>612</v>
      </c>
      <c r="C71" s="30">
        <v>607676.79</v>
      </c>
      <c r="D71" s="31">
        <v>97.41</v>
      </c>
      <c r="E71" s="31">
        <v>512707.38</v>
      </c>
      <c r="F71" s="31">
        <v>94872</v>
      </c>
    </row>
    <row r="72" spans="1:6">
      <c r="A72" s="32" t="s">
        <v>472</v>
      </c>
      <c r="B72" s="33" t="s">
        <v>613</v>
      </c>
      <c r="C72" s="30">
        <v>11576.82</v>
      </c>
      <c r="D72" s="34">
        <v>9.99</v>
      </c>
      <c r="E72" s="34">
        <v>11002.55</v>
      </c>
      <c r="F72" s="34">
        <v>564.28</v>
      </c>
    </row>
    <row r="73" spans="1:6">
      <c r="A73" s="32" t="s">
        <v>473</v>
      </c>
      <c r="B73" s="33" t="s">
        <v>614</v>
      </c>
      <c r="C73" s="30">
        <v>27177.36</v>
      </c>
      <c r="D73" s="34">
        <v>0.06</v>
      </c>
      <c r="E73" s="34">
        <v>14377.08</v>
      </c>
      <c r="F73" s="34">
        <v>12800.22</v>
      </c>
    </row>
    <row r="74" spans="1:6">
      <c r="A74" s="32" t="s">
        <v>474</v>
      </c>
      <c r="B74" s="33" t="s">
        <v>615</v>
      </c>
      <c r="C74" s="30">
        <v>27731.63</v>
      </c>
      <c r="D74" s="34">
        <v>0.22</v>
      </c>
      <c r="E74" s="34">
        <v>27633.27</v>
      </c>
      <c r="F74" s="34">
        <v>98.14</v>
      </c>
    </row>
    <row r="75" spans="1:6">
      <c r="A75" s="32" t="s">
        <v>475</v>
      </c>
      <c r="B75" s="33" t="s">
        <v>616</v>
      </c>
      <c r="C75" s="30">
        <v>27149.23</v>
      </c>
      <c r="D75" s="34">
        <v>0.19</v>
      </c>
      <c r="E75" s="34">
        <v>27079.17</v>
      </c>
      <c r="F75" s="34">
        <v>69.87</v>
      </c>
    </row>
    <row r="76" spans="1:6">
      <c r="A76" s="32" t="s">
        <v>476</v>
      </c>
      <c r="B76" s="33" t="s">
        <v>617</v>
      </c>
      <c r="C76" s="30">
        <v>26585.45</v>
      </c>
      <c r="D76" s="34">
        <v>5.67</v>
      </c>
      <c r="E76" s="34">
        <v>10769.14</v>
      </c>
      <c r="F76" s="34">
        <v>15810.64</v>
      </c>
    </row>
    <row r="77" spans="1:6">
      <c r="A77" s="32" t="s">
        <v>477</v>
      </c>
      <c r="B77" s="33" t="s">
        <v>618</v>
      </c>
      <c r="C77" s="30">
        <v>28880.47</v>
      </c>
      <c r="D77" s="34">
        <v>0</v>
      </c>
      <c r="E77" s="34">
        <v>17068.65</v>
      </c>
      <c r="F77" s="34">
        <v>11811.82</v>
      </c>
    </row>
    <row r="78" spans="1:6">
      <c r="A78" s="32" t="s">
        <v>478</v>
      </c>
      <c r="B78" s="33" t="s">
        <v>619</v>
      </c>
      <c r="C78" s="30">
        <v>17982.87</v>
      </c>
      <c r="D78" s="34">
        <v>0</v>
      </c>
      <c r="E78" s="34">
        <v>17464.01</v>
      </c>
      <c r="F78" s="34">
        <v>518.86</v>
      </c>
    </row>
    <row r="79" spans="1:6">
      <c r="A79" s="32" t="s">
        <v>479</v>
      </c>
      <c r="B79" s="33" t="s">
        <v>620</v>
      </c>
      <c r="C79" s="30">
        <v>50866.36</v>
      </c>
      <c r="D79" s="34">
        <v>1.24</v>
      </c>
      <c r="E79" s="34">
        <v>50644.88</v>
      </c>
      <c r="F79" s="34">
        <v>220.24</v>
      </c>
    </row>
    <row r="80" spans="1:6">
      <c r="A80" s="32" t="s">
        <v>480</v>
      </c>
      <c r="B80" s="33" t="s">
        <v>621</v>
      </c>
      <c r="C80" s="30">
        <v>76012.03</v>
      </c>
      <c r="D80" s="34">
        <v>0</v>
      </c>
      <c r="E80" s="34">
        <v>75421.28</v>
      </c>
      <c r="F80" s="34">
        <v>590.75</v>
      </c>
    </row>
    <row r="81" spans="1:6">
      <c r="A81" s="32" t="s">
        <v>398</v>
      </c>
      <c r="B81" s="33" t="s">
        <v>622</v>
      </c>
      <c r="C81" s="30">
        <v>36628.77</v>
      </c>
      <c r="D81" s="34">
        <v>0.72</v>
      </c>
      <c r="E81" s="34">
        <v>32707.85</v>
      </c>
      <c r="F81" s="34">
        <v>3920.2</v>
      </c>
    </row>
    <row r="82" spans="1:6">
      <c r="A82" s="32" t="s">
        <v>399</v>
      </c>
      <c r="B82" s="33" t="s">
        <v>623</v>
      </c>
      <c r="C82" s="30">
        <v>25106.58</v>
      </c>
      <c r="D82" s="34">
        <v>73.54</v>
      </c>
      <c r="E82" s="34">
        <v>24592.45</v>
      </c>
      <c r="F82" s="34">
        <v>440.59</v>
      </c>
    </row>
    <row r="83" spans="1:6">
      <c r="A83" s="32" t="s">
        <v>400</v>
      </c>
      <c r="B83" s="33" t="s">
        <v>624</v>
      </c>
      <c r="C83" s="30">
        <v>28746.69</v>
      </c>
      <c r="D83" s="34">
        <v>0</v>
      </c>
      <c r="E83" s="34">
        <v>20548.85</v>
      </c>
      <c r="F83" s="34">
        <v>8197.84</v>
      </c>
    </row>
    <row r="84" spans="1:6">
      <c r="A84" s="32" t="s">
        <v>401</v>
      </c>
      <c r="B84" s="33" t="s">
        <v>625</v>
      </c>
      <c r="C84" s="30">
        <v>24807.72</v>
      </c>
      <c r="D84" s="34">
        <v>0</v>
      </c>
      <c r="E84" s="34">
        <v>14346.36</v>
      </c>
      <c r="F84" s="34">
        <v>10461.36</v>
      </c>
    </row>
    <row r="85" spans="1:6">
      <c r="A85" s="32" t="s">
        <v>402</v>
      </c>
      <c r="B85" s="33" t="s">
        <v>626</v>
      </c>
      <c r="C85" s="30">
        <v>56713.45</v>
      </c>
      <c r="D85" s="34">
        <v>0</v>
      </c>
      <c r="E85" s="34">
        <v>53209.43</v>
      </c>
      <c r="F85" s="34">
        <v>3504.02</v>
      </c>
    </row>
    <row r="86" spans="1:6">
      <c r="A86" s="32" t="s">
        <v>403</v>
      </c>
      <c r="B86" s="33" t="s">
        <v>627</v>
      </c>
      <c r="C86" s="30">
        <v>25076.7</v>
      </c>
      <c r="D86" s="34">
        <v>0.22</v>
      </c>
      <c r="E86" s="34">
        <v>22945.04</v>
      </c>
      <c r="F86" s="34">
        <v>2131.44</v>
      </c>
    </row>
    <row r="87" spans="1:6">
      <c r="A87" s="32" t="s">
        <v>404</v>
      </c>
      <c r="B87" s="33" t="s">
        <v>628</v>
      </c>
      <c r="C87" s="30">
        <v>37004.82</v>
      </c>
      <c r="D87" s="34">
        <v>4.6</v>
      </c>
      <c r="E87" s="34">
        <v>36338.31</v>
      </c>
      <c r="F87" s="34">
        <v>661.91</v>
      </c>
    </row>
    <row r="88" spans="1:6">
      <c r="A88" s="32" t="s">
        <v>405</v>
      </c>
      <c r="B88" s="33" t="s">
        <v>629</v>
      </c>
      <c r="C88" s="30">
        <v>55138.32</v>
      </c>
      <c r="D88" s="34">
        <v>0</v>
      </c>
      <c r="E88" s="34">
        <v>49316.04</v>
      </c>
      <c r="F88" s="34">
        <v>5822.28</v>
      </c>
    </row>
    <row r="89" spans="1:6">
      <c r="A89" s="32" t="s">
        <v>481</v>
      </c>
      <c r="B89" s="33" t="s">
        <v>630</v>
      </c>
      <c r="C89" s="30">
        <v>24491.52</v>
      </c>
      <c r="D89" s="34">
        <v>0.96</v>
      </c>
      <c r="E89" s="34">
        <v>7243.02</v>
      </c>
      <c r="F89" s="34">
        <v>17247.54</v>
      </c>
    </row>
    <row r="90" spans="1:6">
      <c r="A90" s="35" t="s">
        <v>377</v>
      </c>
      <c r="B90" s="36" t="s">
        <v>631</v>
      </c>
      <c r="C90" s="30">
        <v>673228.08</v>
      </c>
      <c r="D90" s="31">
        <v>3681.45</v>
      </c>
      <c r="E90" s="31">
        <v>561396.47</v>
      </c>
      <c r="F90" s="31">
        <v>108150.16</v>
      </c>
    </row>
    <row r="91" spans="1:6">
      <c r="A91" s="32" t="s">
        <v>632</v>
      </c>
      <c r="B91" s="33" t="s">
        <v>633</v>
      </c>
      <c r="C91" s="30">
        <v>3155.22</v>
      </c>
      <c r="D91" s="34">
        <v>0.82</v>
      </c>
      <c r="E91" s="34">
        <v>3108.42</v>
      </c>
      <c r="F91" s="34">
        <v>45.98</v>
      </c>
    </row>
    <row r="92" spans="1:6">
      <c r="A92" s="32" t="s">
        <v>634</v>
      </c>
      <c r="B92" s="33" t="s">
        <v>635</v>
      </c>
      <c r="C92" s="30">
        <v>3696.9</v>
      </c>
      <c r="D92" s="34">
        <v>0</v>
      </c>
      <c r="E92" s="34">
        <v>3669.97</v>
      </c>
      <c r="F92" s="34">
        <v>26.93</v>
      </c>
    </row>
    <row r="93" spans="1:6">
      <c r="A93" s="32" t="s">
        <v>493</v>
      </c>
      <c r="B93" s="33" t="s">
        <v>636</v>
      </c>
      <c r="C93" s="30">
        <v>16577.67</v>
      </c>
      <c r="D93" s="34">
        <v>2.5</v>
      </c>
      <c r="E93" s="34">
        <v>15180.21</v>
      </c>
      <c r="F93" s="34">
        <v>1394.96</v>
      </c>
    </row>
    <row r="94" spans="1:6">
      <c r="A94" s="32" t="s">
        <v>485</v>
      </c>
      <c r="B94" s="33" t="s">
        <v>637</v>
      </c>
      <c r="C94" s="30">
        <v>51246.28</v>
      </c>
      <c r="D94" s="34">
        <v>115.35</v>
      </c>
      <c r="E94" s="34">
        <v>50268.18</v>
      </c>
      <c r="F94" s="34">
        <v>862.75</v>
      </c>
    </row>
    <row r="95" spans="1:6">
      <c r="A95" s="32" t="s">
        <v>494</v>
      </c>
      <c r="B95" s="33" t="s">
        <v>638</v>
      </c>
      <c r="C95" s="30">
        <v>38086.18</v>
      </c>
      <c r="D95" s="34">
        <v>0</v>
      </c>
      <c r="E95" s="34">
        <v>35064.69</v>
      </c>
      <c r="F95" s="34">
        <v>3021.49</v>
      </c>
    </row>
    <row r="96" spans="1:6">
      <c r="A96" s="32" t="s">
        <v>482</v>
      </c>
      <c r="B96" s="33" t="s">
        <v>639</v>
      </c>
      <c r="C96" s="30">
        <v>16416.17</v>
      </c>
      <c r="D96" s="34">
        <v>0</v>
      </c>
      <c r="E96" s="34">
        <v>12214.24</v>
      </c>
      <c r="F96" s="34">
        <v>4201.93</v>
      </c>
    </row>
    <row r="97" spans="1:6">
      <c r="A97" s="32" t="s">
        <v>640</v>
      </c>
      <c r="B97" s="33" t="s">
        <v>641</v>
      </c>
      <c r="C97" s="30">
        <v>11614.31</v>
      </c>
      <c r="D97" s="34">
        <v>10.87</v>
      </c>
      <c r="E97" s="34">
        <v>8067.3</v>
      </c>
      <c r="F97" s="34">
        <v>3536.14</v>
      </c>
    </row>
    <row r="98" spans="1:6">
      <c r="A98" s="32" t="s">
        <v>487</v>
      </c>
      <c r="B98" s="33" t="s">
        <v>642</v>
      </c>
      <c r="C98" s="30">
        <v>42682.06</v>
      </c>
      <c r="D98" s="34">
        <v>0</v>
      </c>
      <c r="E98" s="34">
        <v>42641.81</v>
      </c>
      <c r="F98" s="34">
        <v>40.25</v>
      </c>
    </row>
    <row r="99" spans="1:6">
      <c r="A99" s="32" t="s">
        <v>495</v>
      </c>
      <c r="B99" s="33" t="s">
        <v>643</v>
      </c>
      <c r="C99" s="30">
        <v>27877.72</v>
      </c>
      <c r="D99" s="34">
        <v>428.8</v>
      </c>
      <c r="E99" s="34">
        <v>15543.85</v>
      </c>
      <c r="F99" s="34">
        <v>11905.07</v>
      </c>
    </row>
    <row r="100" spans="1:6">
      <c r="A100" s="32" t="s">
        <v>418</v>
      </c>
      <c r="B100" s="33" t="s">
        <v>644</v>
      </c>
      <c r="C100" s="30">
        <v>27437.49</v>
      </c>
      <c r="D100" s="34">
        <v>2.14</v>
      </c>
      <c r="E100" s="34">
        <v>26109.31</v>
      </c>
      <c r="F100" s="34">
        <v>1326.04</v>
      </c>
    </row>
    <row r="101" spans="1:6">
      <c r="A101" s="32" t="s">
        <v>444</v>
      </c>
      <c r="B101" s="33" t="s">
        <v>645</v>
      </c>
      <c r="C101" s="30">
        <v>10035.88</v>
      </c>
      <c r="D101" s="34">
        <v>2.67</v>
      </c>
      <c r="E101" s="34">
        <v>9709.79</v>
      </c>
      <c r="F101" s="34">
        <v>323.42</v>
      </c>
    </row>
    <row r="102" spans="1:6">
      <c r="A102" s="32" t="s">
        <v>378</v>
      </c>
      <c r="B102" s="33" t="s">
        <v>646</v>
      </c>
      <c r="C102" s="30">
        <v>30192.65</v>
      </c>
      <c r="D102" s="34">
        <v>157.03</v>
      </c>
      <c r="E102" s="34">
        <v>4954.64</v>
      </c>
      <c r="F102" s="34">
        <v>25080.98</v>
      </c>
    </row>
    <row r="103" spans="1:6">
      <c r="A103" s="32" t="s">
        <v>486</v>
      </c>
      <c r="B103" s="33" t="s">
        <v>647</v>
      </c>
      <c r="C103" s="30">
        <v>21321.18</v>
      </c>
      <c r="D103" s="34">
        <v>43.66</v>
      </c>
      <c r="E103" s="34">
        <v>21272.75</v>
      </c>
      <c r="F103" s="34">
        <v>4.77</v>
      </c>
    </row>
    <row r="104" spans="1:6">
      <c r="A104" s="32" t="s">
        <v>383</v>
      </c>
      <c r="B104" s="33" t="s">
        <v>648</v>
      </c>
      <c r="C104" s="30">
        <v>34538.88</v>
      </c>
      <c r="D104" s="34">
        <v>2318.91</v>
      </c>
      <c r="E104" s="34">
        <v>31510.81</v>
      </c>
      <c r="F104" s="34">
        <v>709.16</v>
      </c>
    </row>
    <row r="105" spans="1:6">
      <c r="A105" s="32" t="s">
        <v>488</v>
      </c>
      <c r="B105" s="33" t="s">
        <v>649</v>
      </c>
      <c r="C105" s="30">
        <v>39376.58</v>
      </c>
      <c r="D105" s="34">
        <v>0</v>
      </c>
      <c r="E105" s="34">
        <v>20035.67</v>
      </c>
      <c r="F105" s="34">
        <v>19340.91</v>
      </c>
    </row>
    <row r="106" spans="1:6">
      <c r="A106" s="32" t="s">
        <v>650</v>
      </c>
      <c r="B106" s="33" t="s">
        <v>651</v>
      </c>
      <c r="C106" s="30">
        <v>30349.57</v>
      </c>
      <c r="D106" s="34">
        <v>7.46</v>
      </c>
      <c r="E106" s="34">
        <v>17093.38</v>
      </c>
      <c r="F106" s="34">
        <v>13248.73</v>
      </c>
    </row>
    <row r="107" spans="1:6">
      <c r="A107" s="32" t="s">
        <v>491</v>
      </c>
      <c r="B107" s="33" t="s">
        <v>652</v>
      </c>
      <c r="C107" s="30">
        <v>40827.42</v>
      </c>
      <c r="D107" s="34">
        <v>3.5</v>
      </c>
      <c r="E107" s="34">
        <v>36646.76</v>
      </c>
      <c r="F107" s="34">
        <v>4177.16</v>
      </c>
    </row>
    <row r="108" spans="1:6">
      <c r="A108" s="32" t="s">
        <v>489</v>
      </c>
      <c r="B108" s="33" t="s">
        <v>653</v>
      </c>
      <c r="C108" s="30">
        <v>17859.32</v>
      </c>
      <c r="D108" s="34">
        <v>5.3</v>
      </c>
      <c r="E108" s="34">
        <v>15029.41</v>
      </c>
      <c r="F108" s="34">
        <v>2824.61</v>
      </c>
    </row>
    <row r="109" spans="1:6">
      <c r="A109" s="32" t="s">
        <v>490</v>
      </c>
      <c r="B109" s="33" t="s">
        <v>654</v>
      </c>
      <c r="C109" s="30">
        <v>15379.48</v>
      </c>
      <c r="D109" s="34">
        <v>1.6</v>
      </c>
      <c r="E109" s="34">
        <v>15307.56</v>
      </c>
      <c r="F109" s="34">
        <v>70.32</v>
      </c>
    </row>
    <row r="110" spans="1:6">
      <c r="A110" s="32" t="s">
        <v>382</v>
      </c>
      <c r="B110" s="33" t="s">
        <v>655</v>
      </c>
      <c r="C110" s="30">
        <v>21957.63</v>
      </c>
      <c r="D110" s="34">
        <v>36.03</v>
      </c>
      <c r="E110" s="34">
        <v>16414.96</v>
      </c>
      <c r="F110" s="34">
        <v>5506.64</v>
      </c>
    </row>
    <row r="111" spans="1:6">
      <c r="A111" s="32" t="s">
        <v>484</v>
      </c>
      <c r="B111" s="33" t="s">
        <v>656</v>
      </c>
      <c r="C111" s="30">
        <v>32848.07</v>
      </c>
      <c r="D111" s="34">
        <v>538.16</v>
      </c>
      <c r="E111" s="34">
        <v>29304.23</v>
      </c>
      <c r="F111" s="34">
        <v>3005.68</v>
      </c>
    </row>
    <row r="112" spans="1:6">
      <c r="A112" s="32" t="s">
        <v>471</v>
      </c>
      <c r="B112" s="33" t="s">
        <v>657</v>
      </c>
      <c r="C112" s="30">
        <v>76348.66</v>
      </c>
      <c r="D112" s="34">
        <v>0</v>
      </c>
      <c r="E112" s="34">
        <v>73881.73</v>
      </c>
      <c r="F112" s="34">
        <v>2466.93</v>
      </c>
    </row>
    <row r="113" spans="1:6">
      <c r="A113" s="32" t="s">
        <v>492</v>
      </c>
      <c r="B113" s="33" t="s">
        <v>658</v>
      </c>
      <c r="C113" s="30">
        <v>26870.82</v>
      </c>
      <c r="D113" s="34">
        <v>6.65</v>
      </c>
      <c r="E113" s="34">
        <v>26831.09</v>
      </c>
      <c r="F113" s="34">
        <v>33.08</v>
      </c>
    </row>
    <row r="114" spans="1:6">
      <c r="A114" s="32" t="s">
        <v>483</v>
      </c>
      <c r="B114" s="33" t="s">
        <v>659</v>
      </c>
      <c r="C114" s="30">
        <v>36531.94</v>
      </c>
      <c r="D114" s="34">
        <v>0</v>
      </c>
      <c r="E114" s="34">
        <v>31535.71</v>
      </c>
      <c r="F114" s="34">
        <v>4996.23</v>
      </c>
    </row>
    <row r="115" spans="1:6">
      <c r="A115" s="35" t="s">
        <v>346</v>
      </c>
      <c r="B115" s="36" t="s">
        <v>660</v>
      </c>
      <c r="C115" s="30">
        <v>988441.46</v>
      </c>
      <c r="D115" s="31">
        <v>2463.51</v>
      </c>
      <c r="E115" s="31">
        <v>327019.49</v>
      </c>
      <c r="F115" s="31">
        <v>658958.46</v>
      </c>
    </row>
    <row r="116" spans="1:6">
      <c r="A116" s="32" t="s">
        <v>661</v>
      </c>
      <c r="B116" s="33" t="s">
        <v>662</v>
      </c>
      <c r="C116" s="30">
        <v>8757.69</v>
      </c>
      <c r="D116" s="34">
        <v>0.32</v>
      </c>
      <c r="E116" s="34">
        <v>4499.2</v>
      </c>
      <c r="F116" s="34">
        <v>4258.17</v>
      </c>
    </row>
    <row r="117" spans="1:6">
      <c r="A117" s="32" t="s">
        <v>537</v>
      </c>
      <c r="B117" s="33" t="s">
        <v>663</v>
      </c>
      <c r="C117" s="30">
        <v>5296.68</v>
      </c>
      <c r="D117" s="34">
        <v>0</v>
      </c>
      <c r="E117" s="34">
        <v>4977.12</v>
      </c>
      <c r="F117" s="34">
        <v>319.56</v>
      </c>
    </row>
    <row r="118" spans="1:6">
      <c r="A118" s="32" t="s">
        <v>369</v>
      </c>
      <c r="B118" s="33" t="s">
        <v>664</v>
      </c>
      <c r="C118" s="30">
        <v>50352.66</v>
      </c>
      <c r="D118" s="34">
        <v>40.36</v>
      </c>
      <c r="E118" s="34">
        <v>15395.88</v>
      </c>
      <c r="F118" s="34">
        <v>34916.42</v>
      </c>
    </row>
    <row r="119" spans="1:6">
      <c r="A119" s="32" t="s">
        <v>371</v>
      </c>
      <c r="B119" s="33" t="s">
        <v>665</v>
      </c>
      <c r="C119" s="30">
        <v>1959.53</v>
      </c>
      <c r="D119" s="34">
        <v>0</v>
      </c>
      <c r="E119" s="34">
        <v>654.04</v>
      </c>
      <c r="F119" s="34">
        <v>1305.49</v>
      </c>
    </row>
    <row r="120" spans="1:6">
      <c r="A120" s="32" t="s">
        <v>373</v>
      </c>
      <c r="B120" s="33" t="s">
        <v>666</v>
      </c>
      <c r="C120" s="30">
        <v>32122.45</v>
      </c>
      <c r="D120" s="34">
        <v>337.38</v>
      </c>
      <c r="E120" s="34">
        <v>23344.56</v>
      </c>
      <c r="F120" s="34">
        <v>8440.51</v>
      </c>
    </row>
    <row r="121" spans="1:6">
      <c r="A121" s="32" t="s">
        <v>374</v>
      </c>
      <c r="B121" s="33" t="s">
        <v>667</v>
      </c>
      <c r="C121" s="30">
        <v>20127</v>
      </c>
      <c r="D121" s="34">
        <v>0</v>
      </c>
      <c r="E121" s="34">
        <v>3691.86</v>
      </c>
      <c r="F121" s="34">
        <v>16435.14</v>
      </c>
    </row>
    <row r="122" spans="1:6">
      <c r="A122" s="32" t="s">
        <v>350</v>
      </c>
      <c r="B122" s="33" t="s">
        <v>668</v>
      </c>
      <c r="C122" s="30">
        <v>179311.74</v>
      </c>
      <c r="D122" s="34">
        <v>0</v>
      </c>
      <c r="E122" s="34">
        <v>39086.6</v>
      </c>
      <c r="F122" s="34">
        <v>140225.14</v>
      </c>
    </row>
    <row r="123" spans="1:6">
      <c r="A123" s="32" t="s">
        <v>669</v>
      </c>
      <c r="B123" s="33" t="s">
        <v>670</v>
      </c>
      <c r="C123" s="30">
        <v>141246.14</v>
      </c>
      <c r="D123" s="34">
        <v>0</v>
      </c>
      <c r="E123" s="34">
        <v>26441.11</v>
      </c>
      <c r="F123" s="34">
        <v>114805.03</v>
      </c>
    </row>
    <row r="124" spans="1:6">
      <c r="A124" s="32" t="s">
        <v>348</v>
      </c>
      <c r="B124" s="33" t="s">
        <v>671</v>
      </c>
      <c r="C124" s="30">
        <v>148202.58</v>
      </c>
      <c r="D124" s="34">
        <v>0</v>
      </c>
      <c r="E124" s="34">
        <v>78893.5</v>
      </c>
      <c r="F124" s="34">
        <v>69309.08</v>
      </c>
    </row>
    <row r="125" spans="1:6">
      <c r="A125" s="32" t="s">
        <v>349</v>
      </c>
      <c r="B125" s="33" t="s">
        <v>672</v>
      </c>
      <c r="C125" s="30">
        <v>67688.21</v>
      </c>
      <c r="D125" s="34">
        <v>0</v>
      </c>
      <c r="E125" s="34">
        <v>19672.79</v>
      </c>
      <c r="F125" s="34">
        <v>48015.42</v>
      </c>
    </row>
    <row r="126" spans="1:6">
      <c r="A126" s="32" t="s">
        <v>366</v>
      </c>
      <c r="B126" s="33" t="s">
        <v>673</v>
      </c>
      <c r="C126" s="30">
        <v>98770.58</v>
      </c>
      <c r="D126" s="34">
        <v>636.8</v>
      </c>
      <c r="E126" s="34">
        <v>22696.13</v>
      </c>
      <c r="F126" s="34">
        <v>75437.65</v>
      </c>
    </row>
    <row r="127" spans="1:6">
      <c r="A127" s="32" t="s">
        <v>365</v>
      </c>
      <c r="B127" s="33" t="s">
        <v>674</v>
      </c>
      <c r="C127" s="30">
        <v>69168.4</v>
      </c>
      <c r="D127" s="34">
        <v>0</v>
      </c>
      <c r="E127" s="34">
        <v>22896.53</v>
      </c>
      <c r="F127" s="34">
        <v>46271.87</v>
      </c>
    </row>
    <row r="128" spans="1:6">
      <c r="A128" s="32" t="s">
        <v>368</v>
      </c>
      <c r="B128" s="33" t="s">
        <v>675</v>
      </c>
      <c r="C128" s="30">
        <v>49191.29</v>
      </c>
      <c r="D128" s="34">
        <v>509.69</v>
      </c>
      <c r="E128" s="34">
        <v>23555.96</v>
      </c>
      <c r="F128" s="34">
        <v>25125.64</v>
      </c>
    </row>
    <row r="129" spans="1:6">
      <c r="A129" s="32" t="s">
        <v>367</v>
      </c>
      <c r="B129" s="33" t="s">
        <v>676</v>
      </c>
      <c r="C129" s="30">
        <v>24298.53</v>
      </c>
      <c r="D129" s="34">
        <v>565.41</v>
      </c>
      <c r="E129" s="34">
        <v>16022.64</v>
      </c>
      <c r="F129" s="34">
        <v>7710.48</v>
      </c>
    </row>
    <row r="130" spans="1:6">
      <c r="A130" s="32" t="s">
        <v>364</v>
      </c>
      <c r="B130" s="33" t="s">
        <v>677</v>
      </c>
      <c r="C130" s="30">
        <v>33023.14</v>
      </c>
      <c r="D130" s="34">
        <v>227.08</v>
      </c>
      <c r="E130" s="34">
        <v>17884.78</v>
      </c>
      <c r="F130" s="34">
        <v>14911.28</v>
      </c>
    </row>
    <row r="131" spans="1:6">
      <c r="A131" s="32" t="s">
        <v>372</v>
      </c>
      <c r="B131" s="33" t="s">
        <v>678</v>
      </c>
      <c r="C131" s="30">
        <v>58924.84</v>
      </c>
      <c r="D131" s="34">
        <v>146.47</v>
      </c>
      <c r="E131" s="34">
        <v>7306.79</v>
      </c>
      <c r="F131" s="34">
        <v>51471.58</v>
      </c>
    </row>
    <row r="132" spans="1:6">
      <c r="A132" s="35" t="s">
        <v>351</v>
      </c>
      <c r="B132" s="36" t="s">
        <v>679</v>
      </c>
      <c r="C132" s="30">
        <v>418143.1</v>
      </c>
      <c r="D132" s="31">
        <v>5538.66</v>
      </c>
      <c r="E132" s="31">
        <v>49885.93</v>
      </c>
      <c r="F132" s="31">
        <v>362718.51</v>
      </c>
    </row>
    <row r="133" spans="1:6">
      <c r="A133" s="32" t="s">
        <v>355</v>
      </c>
      <c r="B133" s="33" t="s">
        <v>680</v>
      </c>
      <c r="C133" s="30">
        <v>5362.53</v>
      </c>
      <c r="D133" s="34">
        <v>61.17</v>
      </c>
      <c r="E133" s="34">
        <v>1036.81</v>
      </c>
      <c r="F133" s="34">
        <v>4264.55</v>
      </c>
    </row>
    <row r="134" spans="1:6">
      <c r="A134" s="32" t="s">
        <v>356</v>
      </c>
      <c r="B134" s="33" t="s">
        <v>681</v>
      </c>
      <c r="C134" s="30">
        <v>3772.79</v>
      </c>
      <c r="D134" s="34">
        <v>10.87</v>
      </c>
      <c r="E134" s="34">
        <v>836.6</v>
      </c>
      <c r="F134" s="34">
        <v>2925.32</v>
      </c>
    </row>
    <row r="135" spans="1:6">
      <c r="A135" s="32" t="s">
        <v>357</v>
      </c>
      <c r="B135" s="33" t="s">
        <v>682</v>
      </c>
      <c r="C135" s="30">
        <v>604.92</v>
      </c>
      <c r="D135" s="34">
        <v>0</v>
      </c>
      <c r="E135" s="34">
        <v>39.25</v>
      </c>
      <c r="F135" s="34">
        <v>565.67</v>
      </c>
    </row>
    <row r="136" spans="1:6">
      <c r="A136" s="32" t="s">
        <v>362</v>
      </c>
      <c r="B136" s="33" t="s">
        <v>683</v>
      </c>
      <c r="C136" s="30">
        <v>36590.6</v>
      </c>
      <c r="D136" s="34">
        <v>105.84</v>
      </c>
      <c r="E136" s="34">
        <v>3207.06</v>
      </c>
      <c r="F136" s="34">
        <v>33277.7</v>
      </c>
    </row>
    <row r="137" spans="1:6">
      <c r="A137" s="32" t="s">
        <v>361</v>
      </c>
      <c r="B137" s="33" t="s">
        <v>684</v>
      </c>
      <c r="C137" s="30">
        <v>5683.55</v>
      </c>
      <c r="D137" s="34">
        <v>11.55</v>
      </c>
      <c r="E137" s="34">
        <v>167.32</v>
      </c>
      <c r="F137" s="34">
        <v>5504.68</v>
      </c>
    </row>
    <row r="138" spans="1:6">
      <c r="A138" s="32" t="s">
        <v>358</v>
      </c>
      <c r="B138" s="33" t="s">
        <v>685</v>
      </c>
      <c r="C138" s="30">
        <v>27186.59</v>
      </c>
      <c r="D138" s="34">
        <v>750.94</v>
      </c>
      <c r="E138" s="34">
        <v>1925.26</v>
      </c>
      <c r="F138" s="34">
        <v>24510.39</v>
      </c>
    </row>
    <row r="139" spans="1:6">
      <c r="A139" s="32" t="s">
        <v>363</v>
      </c>
      <c r="B139" s="33" t="s">
        <v>686</v>
      </c>
      <c r="C139" s="30">
        <v>57983.72</v>
      </c>
      <c r="D139" s="34">
        <v>4498.03</v>
      </c>
      <c r="E139" s="34">
        <v>7091.85</v>
      </c>
      <c r="F139" s="34">
        <v>46393.84</v>
      </c>
    </row>
    <row r="140" spans="1:6">
      <c r="A140" s="32" t="s">
        <v>352</v>
      </c>
      <c r="B140" s="33" t="s">
        <v>687</v>
      </c>
      <c r="C140" s="30">
        <v>101902.44</v>
      </c>
      <c r="D140" s="34">
        <v>15.5</v>
      </c>
      <c r="E140" s="34">
        <v>25143.14</v>
      </c>
      <c r="F140" s="34">
        <v>76743.8</v>
      </c>
    </row>
    <row r="141" spans="1:6">
      <c r="A141" s="32" t="s">
        <v>360</v>
      </c>
      <c r="B141" s="33" t="s">
        <v>688</v>
      </c>
      <c r="C141" s="30">
        <v>12318.44</v>
      </c>
      <c r="D141" s="34">
        <v>26.28</v>
      </c>
      <c r="E141" s="34">
        <v>156.49</v>
      </c>
      <c r="F141" s="34">
        <v>12135.67</v>
      </c>
    </row>
    <row r="142" spans="1:6">
      <c r="A142" s="32" t="s">
        <v>689</v>
      </c>
      <c r="B142" s="33" t="s">
        <v>690</v>
      </c>
      <c r="C142" s="30">
        <v>111955.8</v>
      </c>
      <c r="D142" s="34">
        <v>12.71</v>
      </c>
      <c r="E142" s="34">
        <v>7701</v>
      </c>
      <c r="F142" s="34">
        <v>104242.09</v>
      </c>
    </row>
    <row r="143" spans="1:6">
      <c r="A143" s="32" t="s">
        <v>359</v>
      </c>
      <c r="B143" s="33" t="s">
        <v>691</v>
      </c>
      <c r="C143" s="30">
        <v>54781.72</v>
      </c>
      <c r="D143" s="34">
        <v>45.77</v>
      </c>
      <c r="E143" s="34">
        <v>2581.15</v>
      </c>
      <c r="F143" s="34">
        <v>52154.8</v>
      </c>
    </row>
    <row r="144" spans="1:6">
      <c r="A144" s="35" t="s">
        <v>419</v>
      </c>
      <c r="B144" s="36" t="s">
        <v>692</v>
      </c>
      <c r="C144" s="30">
        <v>764873.43</v>
      </c>
      <c r="D144" s="31">
        <v>64.93</v>
      </c>
      <c r="E144" s="31">
        <v>463377.11</v>
      </c>
      <c r="F144" s="31">
        <v>301431.39</v>
      </c>
    </row>
    <row r="145" spans="1:6">
      <c r="A145" s="32" t="s">
        <v>539</v>
      </c>
      <c r="B145" s="33" t="s">
        <v>693</v>
      </c>
      <c r="C145" s="30">
        <v>1584.71</v>
      </c>
      <c r="D145" s="34">
        <v>0</v>
      </c>
      <c r="E145" s="34">
        <v>1242.19</v>
      </c>
      <c r="F145" s="34">
        <v>342.52</v>
      </c>
    </row>
    <row r="146" spans="1:6">
      <c r="A146" s="32" t="s">
        <v>694</v>
      </c>
      <c r="B146" s="33" t="s">
        <v>695</v>
      </c>
      <c r="C146" s="30">
        <v>2228.95</v>
      </c>
      <c r="D146" s="34">
        <v>0</v>
      </c>
      <c r="E146" s="34">
        <v>2215.94</v>
      </c>
      <c r="F146" s="34">
        <v>13.01</v>
      </c>
    </row>
    <row r="147" spans="1:6">
      <c r="A147" s="32" t="s">
        <v>421</v>
      </c>
      <c r="B147" s="33" t="s">
        <v>696</v>
      </c>
      <c r="C147" s="30">
        <v>79892.24</v>
      </c>
      <c r="D147" s="34">
        <v>11.35</v>
      </c>
      <c r="E147" s="34">
        <v>40063.23</v>
      </c>
      <c r="F147" s="34">
        <v>39817.66</v>
      </c>
    </row>
    <row r="148" spans="1:6">
      <c r="A148" s="32" t="s">
        <v>422</v>
      </c>
      <c r="B148" s="33" t="s">
        <v>697</v>
      </c>
      <c r="C148" s="30">
        <v>62845.39</v>
      </c>
      <c r="D148" s="34">
        <v>0</v>
      </c>
      <c r="E148" s="34">
        <v>25206.08</v>
      </c>
      <c r="F148" s="34">
        <v>37639.31</v>
      </c>
    </row>
    <row r="149" spans="1:6">
      <c r="A149" s="32" t="s">
        <v>426</v>
      </c>
      <c r="B149" s="33" t="s">
        <v>698</v>
      </c>
      <c r="C149" s="30">
        <v>50148.27</v>
      </c>
      <c r="D149" s="34">
        <v>0</v>
      </c>
      <c r="E149" s="34">
        <v>27658.73</v>
      </c>
      <c r="F149" s="34">
        <v>22489.54</v>
      </c>
    </row>
    <row r="150" spans="1:6">
      <c r="A150" s="32" t="s">
        <v>430</v>
      </c>
      <c r="B150" s="33" t="s">
        <v>699</v>
      </c>
      <c r="C150" s="30">
        <v>38221.4</v>
      </c>
      <c r="D150" s="34">
        <v>0</v>
      </c>
      <c r="E150" s="34">
        <v>14007.41</v>
      </c>
      <c r="F150" s="34">
        <v>24213.99</v>
      </c>
    </row>
    <row r="151" spans="1:6">
      <c r="A151" s="32" t="s">
        <v>428</v>
      </c>
      <c r="B151" s="33" t="s">
        <v>700</v>
      </c>
      <c r="C151" s="30">
        <v>53369.87</v>
      </c>
      <c r="D151" s="34">
        <v>0</v>
      </c>
      <c r="E151" s="34">
        <v>31799.87</v>
      </c>
      <c r="F151" s="34">
        <v>21570</v>
      </c>
    </row>
    <row r="152" spans="1:6">
      <c r="A152" s="32" t="s">
        <v>423</v>
      </c>
      <c r="B152" s="33" t="s">
        <v>701</v>
      </c>
      <c r="C152" s="30">
        <v>28634.28</v>
      </c>
      <c r="D152" s="34">
        <v>0</v>
      </c>
      <c r="E152" s="34">
        <v>25202.74</v>
      </c>
      <c r="F152" s="34">
        <v>3431.54</v>
      </c>
    </row>
    <row r="153" spans="1:6">
      <c r="A153" s="32" t="s">
        <v>432</v>
      </c>
      <c r="B153" s="33" t="s">
        <v>702</v>
      </c>
      <c r="C153" s="30">
        <v>53025.96</v>
      </c>
      <c r="D153" s="34">
        <v>0</v>
      </c>
      <c r="E153" s="34">
        <v>51193.86</v>
      </c>
      <c r="F153" s="34">
        <v>1832.1</v>
      </c>
    </row>
    <row r="154" spans="1:6">
      <c r="A154" s="32" t="s">
        <v>427</v>
      </c>
      <c r="B154" s="33" t="s">
        <v>703</v>
      </c>
      <c r="C154" s="30">
        <v>41300.66</v>
      </c>
      <c r="D154" s="34">
        <v>0</v>
      </c>
      <c r="E154" s="34">
        <v>40149.92</v>
      </c>
      <c r="F154" s="34">
        <v>1150.74</v>
      </c>
    </row>
    <row r="155" spans="1:6">
      <c r="A155" s="32" t="s">
        <v>424</v>
      </c>
      <c r="B155" s="33" t="s">
        <v>704</v>
      </c>
      <c r="C155" s="30">
        <v>66566.83</v>
      </c>
      <c r="D155" s="34">
        <v>0</v>
      </c>
      <c r="E155" s="34">
        <v>54937.71</v>
      </c>
      <c r="F155" s="34">
        <v>11629.12</v>
      </c>
    </row>
    <row r="156" spans="1:6">
      <c r="A156" s="32" t="s">
        <v>705</v>
      </c>
      <c r="B156" s="33" t="s">
        <v>706</v>
      </c>
      <c r="C156" s="30">
        <v>24345.8</v>
      </c>
      <c r="D156" s="34">
        <v>0</v>
      </c>
      <c r="E156" s="34">
        <v>10683.75</v>
      </c>
      <c r="F156" s="34">
        <v>13662.05</v>
      </c>
    </row>
    <row r="157" spans="1:6">
      <c r="A157" s="32" t="s">
        <v>425</v>
      </c>
      <c r="B157" s="33" t="s">
        <v>707</v>
      </c>
      <c r="C157" s="30">
        <v>50495.24</v>
      </c>
      <c r="D157" s="34">
        <v>0</v>
      </c>
      <c r="E157" s="34">
        <v>42200.27</v>
      </c>
      <c r="F157" s="34">
        <v>8294.97</v>
      </c>
    </row>
    <row r="158" spans="1:6">
      <c r="A158" s="32" t="s">
        <v>433</v>
      </c>
      <c r="B158" s="33" t="s">
        <v>708</v>
      </c>
      <c r="C158" s="30">
        <v>39376.61</v>
      </c>
      <c r="D158" s="34">
        <v>53.58</v>
      </c>
      <c r="E158" s="34">
        <v>31388.97</v>
      </c>
      <c r="F158" s="34">
        <v>7934.06</v>
      </c>
    </row>
    <row r="159" spans="1:6">
      <c r="A159" s="32" t="s">
        <v>431</v>
      </c>
      <c r="B159" s="33" t="s">
        <v>709</v>
      </c>
      <c r="C159" s="30">
        <v>94317.43</v>
      </c>
      <c r="D159" s="34">
        <v>0</v>
      </c>
      <c r="E159" s="34">
        <v>6864.55</v>
      </c>
      <c r="F159" s="34">
        <v>87452.88</v>
      </c>
    </row>
    <row r="160" spans="1:6">
      <c r="A160" s="32" t="s">
        <v>434</v>
      </c>
      <c r="B160" s="33" t="s">
        <v>710</v>
      </c>
      <c r="C160" s="30">
        <v>78519.79</v>
      </c>
      <c r="D160" s="34">
        <v>0</v>
      </c>
      <c r="E160" s="34">
        <v>58561.89</v>
      </c>
      <c r="F160" s="34">
        <v>19957.9</v>
      </c>
    </row>
    <row r="161" spans="1:6">
      <c r="A161" s="35" t="s">
        <v>435</v>
      </c>
      <c r="B161" s="36" t="s">
        <v>711</v>
      </c>
      <c r="C161" s="30">
        <v>280134.94</v>
      </c>
      <c r="D161" s="31">
        <v>309.03</v>
      </c>
      <c r="E161" s="31">
        <v>207332.34</v>
      </c>
      <c r="F161" s="31">
        <v>72493.57</v>
      </c>
    </row>
    <row r="162" spans="1:6">
      <c r="A162" s="32" t="s">
        <v>436</v>
      </c>
      <c r="B162" s="33" t="s">
        <v>712</v>
      </c>
      <c r="C162" s="30">
        <v>20662.39</v>
      </c>
      <c r="D162" s="34">
        <v>14.13</v>
      </c>
      <c r="E162" s="34">
        <v>10739.2</v>
      </c>
      <c r="F162" s="34">
        <v>9909.06</v>
      </c>
    </row>
    <row r="163" spans="1:6">
      <c r="A163" s="32" t="s">
        <v>437</v>
      </c>
      <c r="B163" s="33" t="s">
        <v>713</v>
      </c>
      <c r="C163" s="30">
        <v>6052.46</v>
      </c>
      <c r="D163" s="34">
        <v>0</v>
      </c>
      <c r="E163" s="34">
        <v>5836.49</v>
      </c>
      <c r="F163" s="34">
        <v>215.97</v>
      </c>
    </row>
    <row r="164" spans="1:6">
      <c r="A164" s="32" t="s">
        <v>439</v>
      </c>
      <c r="B164" s="33" t="s">
        <v>714</v>
      </c>
      <c r="C164" s="30">
        <v>31072.89</v>
      </c>
      <c r="D164" s="34">
        <v>0</v>
      </c>
      <c r="E164" s="34">
        <v>30608.84</v>
      </c>
      <c r="F164" s="34">
        <v>464.05</v>
      </c>
    </row>
    <row r="165" spans="1:6">
      <c r="A165" s="32" t="s">
        <v>440</v>
      </c>
      <c r="B165" s="33" t="s">
        <v>715</v>
      </c>
      <c r="C165" s="30">
        <v>30531.53</v>
      </c>
      <c r="D165" s="34">
        <v>0</v>
      </c>
      <c r="E165" s="34">
        <v>22131.66</v>
      </c>
      <c r="F165" s="34">
        <v>8399.87</v>
      </c>
    </row>
    <row r="166" spans="1:6">
      <c r="A166" s="32" t="s">
        <v>499</v>
      </c>
      <c r="B166" s="33" t="s">
        <v>716</v>
      </c>
      <c r="C166" s="30">
        <v>17191.24</v>
      </c>
      <c r="D166" s="34">
        <v>167.14</v>
      </c>
      <c r="E166" s="34">
        <v>16320.8</v>
      </c>
      <c r="F166" s="34">
        <v>703.3</v>
      </c>
    </row>
    <row r="167" spans="1:6">
      <c r="A167" s="32" t="s">
        <v>441</v>
      </c>
      <c r="B167" s="33" t="s">
        <v>717</v>
      </c>
      <c r="C167" s="30">
        <v>56742.52</v>
      </c>
      <c r="D167" s="34">
        <v>0</v>
      </c>
      <c r="E167" s="34">
        <v>29532.11</v>
      </c>
      <c r="F167" s="34">
        <v>27210.41</v>
      </c>
    </row>
    <row r="168" spans="1:6">
      <c r="A168" s="32" t="s">
        <v>442</v>
      </c>
      <c r="B168" s="33" t="s">
        <v>718</v>
      </c>
      <c r="C168" s="30">
        <v>60276.45</v>
      </c>
      <c r="D168" s="34">
        <v>15.85</v>
      </c>
      <c r="E168" s="34">
        <v>46522.25</v>
      </c>
      <c r="F168" s="34">
        <v>13738.35</v>
      </c>
    </row>
    <row r="169" spans="1:6">
      <c r="A169" s="32" t="s">
        <v>497</v>
      </c>
      <c r="B169" s="33" t="s">
        <v>719</v>
      </c>
      <c r="C169" s="30">
        <v>4291.4</v>
      </c>
      <c r="D169" s="34">
        <v>0</v>
      </c>
      <c r="E169" s="34">
        <v>3742.13</v>
      </c>
      <c r="F169" s="34">
        <v>549.27</v>
      </c>
    </row>
    <row r="170" spans="1:6">
      <c r="A170" s="32" t="s">
        <v>438</v>
      </c>
      <c r="B170" s="33" t="s">
        <v>720</v>
      </c>
      <c r="C170" s="30">
        <v>35190.24</v>
      </c>
      <c r="D170" s="34">
        <v>111.91</v>
      </c>
      <c r="E170" s="34">
        <v>24087.69</v>
      </c>
      <c r="F170" s="34">
        <v>10990.64</v>
      </c>
    </row>
    <row r="171" spans="1:6">
      <c r="A171" s="32" t="s">
        <v>498</v>
      </c>
      <c r="B171" s="33" t="s">
        <v>721</v>
      </c>
      <c r="C171" s="30">
        <v>18123.82</v>
      </c>
      <c r="D171" s="34">
        <v>0</v>
      </c>
      <c r="E171" s="34">
        <v>17811.17</v>
      </c>
      <c r="F171" s="34">
        <v>312.65</v>
      </c>
    </row>
    <row r="172" spans="1:6">
      <c r="A172" s="32" t="s">
        <v>406</v>
      </c>
      <c r="B172" s="33" t="s">
        <v>722</v>
      </c>
      <c r="C172" s="30">
        <v>568504.7</v>
      </c>
      <c r="D172" s="34">
        <v>0</v>
      </c>
      <c r="E172" s="34">
        <v>501356.51</v>
      </c>
      <c r="F172" s="34">
        <v>67148.19</v>
      </c>
    </row>
    <row r="173" spans="1:6">
      <c r="A173" s="32" t="s">
        <v>414</v>
      </c>
      <c r="B173" s="33" t="s">
        <v>723</v>
      </c>
      <c r="C173" s="30">
        <v>29181.57</v>
      </c>
      <c r="D173" s="34">
        <v>0</v>
      </c>
      <c r="E173" s="34">
        <v>24681.51</v>
      </c>
      <c r="F173" s="34">
        <v>4500.06</v>
      </c>
    </row>
    <row r="174" spans="1:6">
      <c r="A174" s="32" t="s">
        <v>413</v>
      </c>
      <c r="B174" s="33" t="s">
        <v>724</v>
      </c>
      <c r="C174" s="30">
        <v>63866.67</v>
      </c>
      <c r="D174" s="34">
        <v>0</v>
      </c>
      <c r="E174" s="34">
        <v>55693.95</v>
      </c>
      <c r="F174" s="34">
        <v>8172.72</v>
      </c>
    </row>
    <row r="175" spans="1:6">
      <c r="A175" s="32" t="s">
        <v>416</v>
      </c>
      <c r="B175" s="33" t="s">
        <v>725</v>
      </c>
      <c r="C175" s="30">
        <v>61203.98</v>
      </c>
      <c r="D175" s="34">
        <v>0</v>
      </c>
      <c r="E175" s="34">
        <v>58286.6</v>
      </c>
      <c r="F175" s="34">
        <v>2917.38</v>
      </c>
    </row>
    <row r="176" spans="1:6">
      <c r="A176" s="32" t="s">
        <v>407</v>
      </c>
      <c r="B176" s="33" t="s">
        <v>726</v>
      </c>
      <c r="C176" s="30">
        <v>58568.94</v>
      </c>
      <c r="D176" s="34">
        <v>0</v>
      </c>
      <c r="E176" s="34">
        <v>41423.15</v>
      </c>
      <c r="F176" s="34">
        <v>17145.79</v>
      </c>
    </row>
    <row r="177" spans="1:6">
      <c r="A177" s="32" t="s">
        <v>412</v>
      </c>
      <c r="B177" s="33" t="s">
        <v>727</v>
      </c>
      <c r="C177" s="30">
        <v>30342.91</v>
      </c>
      <c r="D177" s="34">
        <v>0</v>
      </c>
      <c r="E177" s="34">
        <v>25259.76</v>
      </c>
      <c r="F177" s="34">
        <v>5083.15</v>
      </c>
    </row>
    <row r="178" spans="1:6">
      <c r="A178" s="32" t="s">
        <v>409</v>
      </c>
      <c r="B178" s="33" t="s">
        <v>728</v>
      </c>
      <c r="C178" s="30">
        <v>32678.94</v>
      </c>
      <c r="D178" s="34">
        <v>0</v>
      </c>
      <c r="E178" s="34">
        <v>30526.08</v>
      </c>
      <c r="F178" s="34">
        <v>2152.86</v>
      </c>
    </row>
    <row r="179" spans="1:6">
      <c r="A179" s="32" t="s">
        <v>408</v>
      </c>
      <c r="B179" s="33" t="s">
        <v>729</v>
      </c>
      <c r="C179" s="30">
        <v>30911.13</v>
      </c>
      <c r="D179" s="34">
        <v>0</v>
      </c>
      <c r="E179" s="34">
        <v>30665.62</v>
      </c>
      <c r="F179" s="34">
        <v>245.51</v>
      </c>
    </row>
    <row r="180" spans="1:6">
      <c r="A180" s="32" t="s">
        <v>417</v>
      </c>
      <c r="B180" s="33" t="s">
        <v>730</v>
      </c>
      <c r="C180" s="30">
        <v>63024.64</v>
      </c>
      <c r="D180" s="34">
        <v>0</v>
      </c>
      <c r="E180" s="34">
        <v>50430.16</v>
      </c>
      <c r="F180" s="34">
        <v>12594.48</v>
      </c>
    </row>
    <row r="181" spans="1:6">
      <c r="A181" s="32" t="s">
        <v>410</v>
      </c>
      <c r="B181" s="33" t="s">
        <v>731</v>
      </c>
      <c r="C181" s="30">
        <v>82233.53</v>
      </c>
      <c r="D181" s="34">
        <v>0</v>
      </c>
      <c r="E181" s="34">
        <v>72708.21</v>
      </c>
      <c r="F181" s="34">
        <v>9525.32</v>
      </c>
    </row>
    <row r="182" spans="1:6">
      <c r="A182" s="32" t="s">
        <v>415</v>
      </c>
      <c r="B182" s="33" t="s">
        <v>732</v>
      </c>
      <c r="C182" s="30">
        <v>44420.62</v>
      </c>
      <c r="D182" s="34">
        <v>0</v>
      </c>
      <c r="E182" s="34">
        <v>39890.38</v>
      </c>
      <c r="F182" s="34">
        <v>4530.24</v>
      </c>
    </row>
    <row r="183" spans="1:6">
      <c r="A183" s="32" t="s">
        <v>411</v>
      </c>
      <c r="B183" s="33" t="s">
        <v>733</v>
      </c>
      <c r="C183" s="30">
        <v>72071.77</v>
      </c>
      <c r="D183" s="34">
        <v>0</v>
      </c>
      <c r="E183" s="34">
        <v>71791.09</v>
      </c>
      <c r="F183" s="34">
        <v>280.68</v>
      </c>
    </row>
    <row r="186" spans="1:6">
      <c r="B186" s="37"/>
    </row>
  </sheetData>
  <mergeCells count="1">
    <mergeCell ref="C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8"/>
  <sheetViews>
    <sheetView workbookViewId="0">
      <selection activeCell="K30" sqref="K30"/>
    </sheetView>
  </sheetViews>
  <sheetFormatPr defaultColWidth="9" defaultRowHeight="13.5"/>
  <cols>
    <col min="8" max="8" width="12.875" customWidth="1"/>
    <col min="9" max="9" width="17.875" customWidth="1"/>
    <col min="10" max="10" width="14.625" customWidth="1"/>
  </cols>
  <sheetData>
    <row r="1" customHeight="1" spans="1:29">
      <c r="A1" s="5" t="s">
        <v>343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</row>
    <row r="2" customHeight="1" spans="1:29">
      <c r="A2" s="7" t="s">
        <v>734</v>
      </c>
      <c r="B2" s="7"/>
      <c r="C2" s="6"/>
      <c r="D2" s="7" t="s">
        <v>735</v>
      </c>
      <c r="E2" s="7"/>
      <c r="F2" s="6"/>
      <c r="G2" s="8" t="s">
        <v>736</v>
      </c>
      <c r="H2" s="6"/>
      <c r="I2" s="6"/>
      <c r="J2" s="6"/>
      <c r="K2" s="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7" t="s">
        <v>737</v>
      </c>
      <c r="B3" s="7" t="s">
        <v>738</v>
      </c>
      <c r="C3" s="6"/>
      <c r="D3" s="7" t="s">
        <v>737</v>
      </c>
      <c r="E3" s="7" t="s">
        <v>738</v>
      </c>
      <c r="F3" s="6"/>
      <c r="G3" s="7" t="s">
        <v>131</v>
      </c>
      <c r="H3" s="10" t="s">
        <v>739</v>
      </c>
      <c r="I3" s="10" t="s">
        <v>740</v>
      </c>
      <c r="J3" s="10" t="s">
        <v>741</v>
      </c>
      <c r="K3" s="10" t="s">
        <v>742</v>
      </c>
      <c r="L3" s="10" t="s">
        <v>743</v>
      </c>
      <c r="M3" s="10" t="s">
        <v>744</v>
      </c>
      <c r="N3" s="10" t="s">
        <v>745</v>
      </c>
      <c r="O3" s="10" t="s">
        <v>746</v>
      </c>
      <c r="P3" s="10" t="s">
        <v>747</v>
      </c>
      <c r="Q3" s="10" t="s">
        <v>748</v>
      </c>
      <c r="R3" s="10" t="s">
        <v>749</v>
      </c>
      <c r="S3" s="7" t="s">
        <v>112</v>
      </c>
      <c r="T3" s="6"/>
      <c r="V3" s="6"/>
      <c r="W3" s="6"/>
      <c r="X3" s="6"/>
      <c r="Y3" s="6"/>
      <c r="Z3" s="6"/>
      <c r="AA3" s="6"/>
      <c r="AB3" s="6"/>
      <c r="AC3" s="6"/>
    </row>
    <row r="4" spans="1:29">
      <c r="A4" s="7" t="s">
        <v>287</v>
      </c>
      <c r="B4" s="11">
        <v>0.1424</v>
      </c>
      <c r="C4" s="6"/>
      <c r="D4" s="7" t="s">
        <v>287</v>
      </c>
      <c r="E4" s="11">
        <v>0.1135</v>
      </c>
      <c r="F4" s="6"/>
      <c r="G4" s="12" t="s">
        <v>750</v>
      </c>
      <c r="H4" s="13">
        <v>0.79</v>
      </c>
      <c r="I4" s="13">
        <v>0.86</v>
      </c>
      <c r="J4" s="13">
        <v>1</v>
      </c>
      <c r="K4" s="13">
        <v>0.88</v>
      </c>
      <c r="L4" s="13">
        <v>0.74</v>
      </c>
      <c r="M4" s="13">
        <v>0.39</v>
      </c>
      <c r="N4" s="13">
        <v>0.5</v>
      </c>
      <c r="O4" s="13">
        <v>0.61</v>
      </c>
      <c r="P4" s="13">
        <v>0.16</v>
      </c>
      <c r="Q4" s="13">
        <v>0.3</v>
      </c>
      <c r="R4" s="13">
        <v>0.42</v>
      </c>
      <c r="S4" s="12" t="s">
        <v>112</v>
      </c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>
      <c r="A5" s="7" t="s">
        <v>131</v>
      </c>
      <c r="B5" s="11">
        <v>0.0982</v>
      </c>
      <c r="C5" s="6"/>
      <c r="D5" s="7" t="s">
        <v>274</v>
      </c>
      <c r="E5" s="11">
        <v>0.0989</v>
      </c>
      <c r="F5" s="6"/>
      <c r="G5" s="12" t="s">
        <v>280</v>
      </c>
      <c r="H5" s="12" t="s">
        <v>751</v>
      </c>
      <c r="I5" s="12" t="s">
        <v>752</v>
      </c>
      <c r="J5" s="12" t="s">
        <v>753</v>
      </c>
      <c r="K5" s="12" t="s">
        <v>754</v>
      </c>
      <c r="L5" s="12" t="s">
        <v>755</v>
      </c>
      <c r="M5" s="12" t="s">
        <v>756</v>
      </c>
      <c r="N5" s="12" t="s">
        <v>757</v>
      </c>
      <c r="O5" s="12" t="s">
        <v>758</v>
      </c>
      <c r="P5" s="12" t="s">
        <v>759</v>
      </c>
      <c r="Q5" s="12" t="s">
        <v>760</v>
      </c>
      <c r="R5" s="12" t="s">
        <v>761</v>
      </c>
      <c r="S5" s="12" t="s">
        <v>762</v>
      </c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>
      <c r="A6" s="7" t="s">
        <v>200</v>
      </c>
      <c r="B6" s="11">
        <v>0.0968</v>
      </c>
      <c r="C6" s="6"/>
      <c r="D6" s="7" t="s">
        <v>200</v>
      </c>
      <c r="E6" s="11">
        <v>0.0973</v>
      </c>
      <c r="F6" s="6"/>
      <c r="G6" s="12" t="s">
        <v>750</v>
      </c>
      <c r="H6" s="13">
        <v>1</v>
      </c>
      <c r="I6" s="13">
        <v>0.75</v>
      </c>
      <c r="J6" s="13">
        <v>0.77</v>
      </c>
      <c r="K6" s="13">
        <v>0.79</v>
      </c>
      <c r="L6" s="13">
        <v>0.5</v>
      </c>
      <c r="M6" s="13">
        <v>0.55</v>
      </c>
      <c r="N6" s="13">
        <v>0.73</v>
      </c>
      <c r="O6" s="13">
        <v>0.59</v>
      </c>
      <c r="P6" s="13">
        <v>0.49</v>
      </c>
      <c r="Q6" s="13">
        <v>0.53</v>
      </c>
      <c r="R6" s="13">
        <v>0.45</v>
      </c>
      <c r="S6" s="13">
        <v>0.38</v>
      </c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>
      <c r="A7" s="7" t="s">
        <v>274</v>
      </c>
      <c r="B7" s="11">
        <v>0.0904</v>
      </c>
      <c r="C7" s="6"/>
      <c r="D7" s="7" t="s">
        <v>280</v>
      </c>
      <c r="E7" s="11">
        <v>0.0892</v>
      </c>
      <c r="F7" s="6"/>
      <c r="G7" s="12" t="s">
        <v>278</v>
      </c>
      <c r="H7" s="14" t="s">
        <v>763</v>
      </c>
      <c r="I7" s="12" t="s">
        <v>764</v>
      </c>
      <c r="J7" s="12" t="s">
        <v>765</v>
      </c>
      <c r="K7" s="12" t="s">
        <v>766</v>
      </c>
      <c r="L7" s="14" t="s">
        <v>767</v>
      </c>
      <c r="M7" s="12" t="s">
        <v>768</v>
      </c>
      <c r="N7" s="12" t="s">
        <v>769</v>
      </c>
      <c r="O7" s="12" t="s">
        <v>112</v>
      </c>
      <c r="P7" s="12" t="s">
        <v>112</v>
      </c>
      <c r="Q7" s="12" t="s">
        <v>112</v>
      </c>
      <c r="R7" s="12" t="s">
        <v>112</v>
      </c>
      <c r="S7" s="12" t="s">
        <v>112</v>
      </c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>
      <c r="A8" s="7" t="s">
        <v>278</v>
      </c>
      <c r="B8" s="11">
        <v>0.0815</v>
      </c>
      <c r="C8" s="6"/>
      <c r="D8" s="7" t="s">
        <v>289</v>
      </c>
      <c r="E8" s="11">
        <v>0.0885</v>
      </c>
      <c r="F8" s="6"/>
      <c r="G8" s="12" t="s">
        <v>750</v>
      </c>
      <c r="H8" s="13">
        <v>1</v>
      </c>
      <c r="I8" s="13">
        <v>0.91</v>
      </c>
      <c r="J8" s="13">
        <v>0.62</v>
      </c>
      <c r="K8" s="13">
        <v>0.68</v>
      </c>
      <c r="L8" s="13">
        <v>0.53</v>
      </c>
      <c r="M8" s="13">
        <v>0.44</v>
      </c>
      <c r="N8" s="13">
        <v>0.32</v>
      </c>
      <c r="O8" s="12" t="s">
        <v>112</v>
      </c>
      <c r="P8" s="12" t="s">
        <v>112</v>
      </c>
      <c r="Q8" s="12" t="s">
        <v>112</v>
      </c>
      <c r="R8" s="12" t="s">
        <v>112</v>
      </c>
      <c r="S8" s="12" t="s">
        <v>112</v>
      </c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>
      <c r="A9" s="7" t="s">
        <v>289</v>
      </c>
      <c r="B9" s="11">
        <v>0.0797</v>
      </c>
      <c r="C9" s="6"/>
      <c r="D9" s="7" t="s">
        <v>131</v>
      </c>
      <c r="E9" s="11">
        <v>0.0764</v>
      </c>
      <c r="F9" s="6"/>
      <c r="G9" s="12" t="s">
        <v>770</v>
      </c>
      <c r="H9" s="14" t="s">
        <v>771</v>
      </c>
      <c r="I9" s="12" t="s">
        <v>772</v>
      </c>
      <c r="J9" s="14" t="s">
        <v>773</v>
      </c>
      <c r="K9" s="12" t="s">
        <v>774</v>
      </c>
      <c r="L9" s="12" t="s">
        <v>112</v>
      </c>
      <c r="M9" s="12" t="s">
        <v>112</v>
      </c>
      <c r="N9" s="12" t="s">
        <v>112</v>
      </c>
      <c r="O9" s="12" t="s">
        <v>112</v>
      </c>
      <c r="P9" s="12" t="s">
        <v>112</v>
      </c>
      <c r="Q9" s="12" t="s">
        <v>112</v>
      </c>
      <c r="R9" s="12" t="s">
        <v>112</v>
      </c>
      <c r="S9" s="12" t="s">
        <v>112</v>
      </c>
      <c r="T9" s="6"/>
      <c r="U9" s="6"/>
      <c r="V9" s="6"/>
      <c r="W9" s="6"/>
      <c r="X9" s="6"/>
      <c r="Y9" s="6"/>
      <c r="Z9" s="6"/>
      <c r="AA9" s="6"/>
      <c r="AB9" s="6"/>
    </row>
    <row r="10" spans="1:29">
      <c r="A10" s="7" t="s">
        <v>291</v>
      </c>
      <c r="B10" s="11">
        <v>0.0784</v>
      </c>
      <c r="C10" s="9"/>
      <c r="D10" s="7" t="s">
        <v>291</v>
      </c>
      <c r="E10" s="11">
        <v>0.0783</v>
      </c>
      <c r="F10" s="9"/>
      <c r="G10" s="12" t="s">
        <v>750</v>
      </c>
      <c r="H10" s="13">
        <v>1</v>
      </c>
      <c r="I10" s="13">
        <v>0.85</v>
      </c>
      <c r="J10" s="13">
        <v>0.65</v>
      </c>
      <c r="K10" s="13">
        <v>0.38</v>
      </c>
      <c r="L10" s="12" t="s">
        <v>112</v>
      </c>
      <c r="M10" s="12" t="s">
        <v>112</v>
      </c>
      <c r="N10" s="12" t="s">
        <v>112</v>
      </c>
      <c r="O10" s="12" t="s">
        <v>112</v>
      </c>
      <c r="P10" s="12" t="s">
        <v>112</v>
      </c>
      <c r="Q10" s="12" t="s">
        <v>112</v>
      </c>
      <c r="R10" s="12" t="s">
        <v>112</v>
      </c>
      <c r="S10" s="12" t="s">
        <v>112</v>
      </c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>
      <c r="A11" s="7" t="s">
        <v>280</v>
      </c>
      <c r="B11" s="11">
        <v>0.0669</v>
      </c>
      <c r="C11" s="6"/>
      <c r="D11" s="7" t="s">
        <v>278</v>
      </c>
      <c r="E11" s="11">
        <v>0.0719</v>
      </c>
      <c r="F11" s="6"/>
      <c r="G11" s="12" t="s">
        <v>289</v>
      </c>
      <c r="H11" s="14" t="s">
        <v>771</v>
      </c>
      <c r="I11" s="12" t="s">
        <v>772</v>
      </c>
      <c r="J11" s="14" t="s">
        <v>773</v>
      </c>
      <c r="K11" s="12" t="s">
        <v>774</v>
      </c>
      <c r="L11" s="12" t="s">
        <v>112</v>
      </c>
      <c r="M11" s="12" t="s">
        <v>112</v>
      </c>
      <c r="N11" s="12" t="s">
        <v>112</v>
      </c>
      <c r="O11" s="12" t="s">
        <v>112</v>
      </c>
      <c r="P11" s="12" t="s">
        <v>112</v>
      </c>
      <c r="Q11" s="12" t="s">
        <v>112</v>
      </c>
      <c r="R11" s="12" t="s">
        <v>112</v>
      </c>
      <c r="S11" s="12" t="s">
        <v>112</v>
      </c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>
      <c r="A12" s="7" t="s">
        <v>208</v>
      </c>
      <c r="B12" s="11">
        <v>0.0527</v>
      </c>
      <c r="C12" s="6"/>
      <c r="D12" s="7" t="s">
        <v>292</v>
      </c>
      <c r="E12" s="11">
        <v>0.0608</v>
      </c>
      <c r="F12" s="6"/>
      <c r="G12" s="12" t="s">
        <v>750</v>
      </c>
      <c r="H12" s="13">
        <v>1</v>
      </c>
      <c r="I12" s="13">
        <v>0.83</v>
      </c>
      <c r="J12" s="13">
        <v>0.62</v>
      </c>
      <c r="K12" s="13">
        <v>0.43</v>
      </c>
      <c r="L12" s="12" t="s">
        <v>112</v>
      </c>
      <c r="M12" s="12" t="s">
        <v>112</v>
      </c>
      <c r="N12" s="12" t="s">
        <v>112</v>
      </c>
      <c r="O12" s="12" t="s">
        <v>112</v>
      </c>
      <c r="P12" s="12" t="s">
        <v>112</v>
      </c>
      <c r="Q12" s="12" t="s">
        <v>112</v>
      </c>
      <c r="R12" s="12" t="s">
        <v>112</v>
      </c>
      <c r="S12" s="12" t="s">
        <v>112</v>
      </c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>
      <c r="A13" s="7" t="s">
        <v>297</v>
      </c>
      <c r="B13" s="11">
        <v>0.0473</v>
      </c>
      <c r="C13" s="6"/>
      <c r="D13" s="7" t="s">
        <v>208</v>
      </c>
      <c r="E13" s="11">
        <v>0.0564</v>
      </c>
      <c r="F13" s="6"/>
      <c r="G13" s="12" t="s">
        <v>297</v>
      </c>
      <c r="H13" s="12" t="s">
        <v>775</v>
      </c>
      <c r="I13" s="12" t="s">
        <v>776</v>
      </c>
      <c r="J13" s="12" t="s">
        <v>777</v>
      </c>
      <c r="K13" s="12" t="s">
        <v>112</v>
      </c>
      <c r="L13" s="12" t="s">
        <v>112</v>
      </c>
      <c r="M13" s="12" t="s">
        <v>112</v>
      </c>
      <c r="N13" s="12" t="s">
        <v>112</v>
      </c>
      <c r="O13" s="12" t="s">
        <v>112</v>
      </c>
      <c r="P13" s="12" t="s">
        <v>112</v>
      </c>
      <c r="Q13" s="12" t="s">
        <v>112</v>
      </c>
      <c r="R13" s="12" t="s">
        <v>112</v>
      </c>
      <c r="S13" s="12" t="s">
        <v>112</v>
      </c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>
      <c r="A14" s="7" t="s">
        <v>282</v>
      </c>
      <c r="B14" s="11">
        <v>0.0465</v>
      </c>
      <c r="C14" s="6"/>
      <c r="D14" s="7" t="s">
        <v>212</v>
      </c>
      <c r="E14" s="11">
        <v>0.0489</v>
      </c>
      <c r="F14" s="6"/>
      <c r="G14" s="12" t="s">
        <v>750</v>
      </c>
      <c r="H14" s="13">
        <v>1</v>
      </c>
      <c r="I14" s="13">
        <v>0.74</v>
      </c>
      <c r="J14" s="13">
        <v>0.4</v>
      </c>
      <c r="K14" s="12" t="s">
        <v>112</v>
      </c>
      <c r="L14" s="12" t="s">
        <v>112</v>
      </c>
      <c r="M14" s="12" t="s">
        <v>112</v>
      </c>
      <c r="N14" s="12" t="s">
        <v>112</v>
      </c>
      <c r="O14" s="12" t="s">
        <v>112</v>
      </c>
      <c r="P14" s="12" t="s">
        <v>112</v>
      </c>
      <c r="Q14" s="12" t="s">
        <v>112</v>
      </c>
      <c r="R14" s="12" t="s">
        <v>112</v>
      </c>
      <c r="S14" s="12" t="s">
        <v>112</v>
      </c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>
      <c r="A15" s="7" t="s">
        <v>212</v>
      </c>
      <c r="B15" s="11">
        <v>0.0414</v>
      </c>
      <c r="C15" s="6"/>
      <c r="D15" s="7" t="s">
        <v>282</v>
      </c>
      <c r="E15" s="11">
        <v>0.0454</v>
      </c>
      <c r="F15" s="6"/>
      <c r="G15" s="12" t="s">
        <v>295</v>
      </c>
      <c r="H15" s="12" t="s">
        <v>778</v>
      </c>
      <c r="I15" s="12" t="s">
        <v>779</v>
      </c>
      <c r="J15" s="12" t="s">
        <v>780</v>
      </c>
      <c r="K15" s="12" t="s">
        <v>781</v>
      </c>
      <c r="L15" s="12" t="s">
        <v>112</v>
      </c>
      <c r="M15" s="12" t="s">
        <v>112</v>
      </c>
      <c r="N15" s="12" t="s">
        <v>112</v>
      </c>
      <c r="O15" s="12" t="s">
        <v>112</v>
      </c>
      <c r="P15" s="12" t="s">
        <v>112</v>
      </c>
      <c r="Q15" s="12" t="s">
        <v>112</v>
      </c>
      <c r="R15" s="12" t="s">
        <v>112</v>
      </c>
      <c r="S15" s="12" t="s">
        <v>112</v>
      </c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>
      <c r="A16" s="7" t="s">
        <v>292</v>
      </c>
      <c r="B16" s="11">
        <v>0.0395</v>
      </c>
      <c r="C16" s="6"/>
      <c r="D16" s="7" t="s">
        <v>295</v>
      </c>
      <c r="E16" s="11">
        <v>0.0383</v>
      </c>
      <c r="F16" s="6"/>
      <c r="G16" s="12" t="s">
        <v>750</v>
      </c>
      <c r="H16" s="13">
        <v>1</v>
      </c>
      <c r="I16" s="13">
        <v>0.9</v>
      </c>
      <c r="J16" s="13">
        <v>0.75</v>
      </c>
      <c r="K16" s="13">
        <v>0.38</v>
      </c>
      <c r="L16" s="12" t="s">
        <v>112</v>
      </c>
      <c r="M16" s="12" t="s">
        <v>112</v>
      </c>
      <c r="N16" s="12" t="s">
        <v>112</v>
      </c>
      <c r="O16" s="12" t="s">
        <v>112</v>
      </c>
      <c r="P16" s="12" t="s">
        <v>112</v>
      </c>
      <c r="Q16" s="12" t="s">
        <v>112</v>
      </c>
      <c r="R16" s="12" t="s">
        <v>112</v>
      </c>
      <c r="S16" s="15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>
      <c r="A17" s="7" t="s">
        <v>295</v>
      </c>
      <c r="B17" s="11">
        <v>0.0383</v>
      </c>
      <c r="C17" s="6"/>
      <c r="D17" s="7" t="s">
        <v>297</v>
      </c>
      <c r="E17" s="11">
        <v>0.0362</v>
      </c>
      <c r="F17" s="6"/>
      <c r="G17" s="8" t="s">
        <v>782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>
      <c r="A18" s="6"/>
      <c r="B18" s="6"/>
      <c r="C18" s="6"/>
      <c r="D18" s="6"/>
      <c r="E18" s="6"/>
      <c r="F18" s="6"/>
      <c r="G18" s="7" t="s">
        <v>737</v>
      </c>
      <c r="H18" s="7" t="s">
        <v>783</v>
      </c>
      <c r="I18" s="7" t="s">
        <v>784</v>
      </c>
      <c r="J18" s="7" t="s">
        <v>785</v>
      </c>
      <c r="K18" s="7" t="s">
        <v>786</v>
      </c>
      <c r="L18" s="7" t="s">
        <v>787</v>
      </c>
      <c r="M18" s="7" t="s">
        <v>788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9">
      <c r="A19" s="6"/>
      <c r="B19" s="6"/>
      <c r="C19" s="6"/>
      <c r="D19" s="6"/>
      <c r="E19" s="6"/>
      <c r="F19" s="6"/>
      <c r="G19" s="12" t="s">
        <v>292</v>
      </c>
      <c r="H19" s="12" t="s">
        <v>789</v>
      </c>
      <c r="I19" s="12" t="s">
        <v>790</v>
      </c>
      <c r="J19" s="13">
        <v>0.466171</v>
      </c>
      <c r="K19" s="13">
        <v>7.115198</v>
      </c>
      <c r="L19" s="13">
        <v>2.72</v>
      </c>
      <c r="M19" s="13">
        <v>11.5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9">
      <c r="A20" s="6"/>
      <c r="B20" s="6"/>
      <c r="C20" s="6"/>
      <c r="D20" s="6"/>
      <c r="E20" s="6"/>
      <c r="F20" s="6"/>
      <c r="G20" s="12" t="s">
        <v>282</v>
      </c>
      <c r="H20" s="12" t="s">
        <v>789</v>
      </c>
      <c r="I20" s="12" t="s">
        <v>790</v>
      </c>
      <c r="J20" s="13">
        <v>9.311579</v>
      </c>
      <c r="K20" s="13">
        <v>1.291595</v>
      </c>
      <c r="L20" s="13">
        <v>0.3</v>
      </c>
      <c r="M20" s="13">
        <v>2.27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9">
      <c r="A21" s="6"/>
      <c r="B21" s="6"/>
      <c r="C21" s="6"/>
      <c r="D21" s="6"/>
      <c r="E21" s="6"/>
      <c r="F21" s="6"/>
      <c r="G21" s="12" t="s">
        <v>200</v>
      </c>
      <c r="H21" s="12" t="s">
        <v>791</v>
      </c>
      <c r="I21" s="12" t="s">
        <v>790</v>
      </c>
      <c r="J21" s="16" t="s">
        <v>792</v>
      </c>
      <c r="K21" s="13">
        <v>29.179594</v>
      </c>
      <c r="L21" s="13">
        <v>0</v>
      </c>
      <c r="M21" s="13">
        <v>29.179594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9">
      <c r="A22" s="6"/>
      <c r="B22" s="6"/>
      <c r="C22" s="6"/>
      <c r="D22" s="6"/>
      <c r="E22" s="6"/>
      <c r="F22" s="6"/>
      <c r="G22" s="12" t="s">
        <v>208</v>
      </c>
      <c r="H22" s="12" t="s">
        <v>791</v>
      </c>
      <c r="I22" s="12" t="s">
        <v>790</v>
      </c>
      <c r="J22" s="13">
        <v>0.003475</v>
      </c>
      <c r="K22" s="13">
        <v>29.511592</v>
      </c>
      <c r="L22" s="13">
        <v>0</v>
      </c>
      <c r="M22" s="13">
        <v>29.511592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9">
      <c r="A23" s="6"/>
      <c r="B23" s="6"/>
      <c r="C23" s="6"/>
      <c r="D23" s="6"/>
      <c r="E23" s="6"/>
      <c r="F23" s="6"/>
      <c r="G23" s="12" t="s">
        <v>212</v>
      </c>
      <c r="H23" s="12" t="s">
        <v>791</v>
      </c>
      <c r="I23" s="12" t="s">
        <v>790</v>
      </c>
      <c r="J23" s="13">
        <v>4.7e-5</v>
      </c>
      <c r="K23" s="16" t="s">
        <v>793</v>
      </c>
      <c r="L23" s="13">
        <v>0</v>
      </c>
      <c r="M23" s="16" t="s">
        <v>793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9">
      <c r="A24" s="6"/>
      <c r="B24" s="6"/>
      <c r="C24" s="6"/>
      <c r="D24" s="6"/>
      <c r="E24" s="6"/>
      <c r="F24" s="6"/>
      <c r="G24" s="12" t="s">
        <v>291</v>
      </c>
      <c r="H24" s="12" t="s">
        <v>791</v>
      </c>
      <c r="I24" s="12" t="s">
        <v>790</v>
      </c>
      <c r="J24" s="13">
        <v>0.003717</v>
      </c>
      <c r="K24" s="16" t="s">
        <v>794</v>
      </c>
      <c r="L24" s="13">
        <v>0</v>
      </c>
      <c r="M24" s="13">
        <v>33.70704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9">
      <c r="A25" s="6"/>
      <c r="B25" s="6"/>
      <c r="C25" s="6"/>
      <c r="D25" s="6"/>
      <c r="E25" s="6"/>
      <c r="F25" s="6"/>
      <c r="G25" s="12" t="s">
        <v>274</v>
      </c>
      <c r="H25" s="12" t="s">
        <v>791</v>
      </c>
      <c r="I25" s="12" t="s">
        <v>790</v>
      </c>
      <c r="J25" s="13">
        <v>0.000225</v>
      </c>
      <c r="K25" s="13">
        <v>90.054656</v>
      </c>
      <c r="L25" s="13">
        <v>0</v>
      </c>
      <c r="M25" s="13">
        <v>90.054656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36" customHeight="1" spans="1:29">
      <c r="A26" s="6"/>
      <c r="B26" s="6"/>
      <c r="C26" s="6"/>
      <c r="D26" s="6"/>
      <c r="E26" s="6"/>
      <c r="F26" s="6"/>
      <c r="G26" s="14" t="s">
        <v>795</v>
      </c>
      <c r="H26" s="14"/>
      <c r="I26" s="14"/>
      <c r="J26" s="14"/>
      <c r="K26" s="14"/>
      <c r="L26" s="14"/>
      <c r="M26" s="14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>
      <c r="A27" s="6"/>
      <c r="B27" s="6"/>
      <c r="C27" s="6"/>
      <c r="D27" s="6"/>
      <c r="E27" s="6"/>
      <c r="F27" s="6"/>
      <c r="G27" s="8" t="s">
        <v>796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>
      <c r="A28" s="6"/>
      <c r="B28" s="6"/>
      <c r="C28" s="6"/>
      <c r="D28" s="6"/>
      <c r="E28" s="6"/>
      <c r="F28" s="6"/>
      <c r="G28" s="7" t="s">
        <v>797</v>
      </c>
      <c r="H28" s="7" t="s">
        <v>798</v>
      </c>
      <c r="I28" s="7" t="s">
        <v>797</v>
      </c>
      <c r="J28" s="7" t="s">
        <v>798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>
      <c r="A29" s="6"/>
      <c r="B29" s="6"/>
      <c r="C29" s="6"/>
      <c r="D29" s="6"/>
      <c r="E29" s="6"/>
      <c r="F29" s="6"/>
      <c r="G29" s="12" t="s">
        <v>799</v>
      </c>
      <c r="H29" s="12" t="s">
        <v>800</v>
      </c>
      <c r="I29" s="12" t="s">
        <v>801</v>
      </c>
      <c r="J29" s="12" t="s">
        <v>802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>
      <c r="A30" s="6"/>
      <c r="B30" s="6"/>
      <c r="C30" s="6"/>
      <c r="D30" s="6"/>
      <c r="E30" s="6"/>
      <c r="F30" s="6"/>
      <c r="G30" s="12" t="s">
        <v>803</v>
      </c>
      <c r="H30" s="12" t="s">
        <v>804</v>
      </c>
      <c r="I30" s="12" t="s">
        <v>805</v>
      </c>
      <c r="J30" s="12" t="s">
        <v>806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>
      <c r="A31" s="6"/>
      <c r="B31" s="6"/>
      <c r="C31" s="6"/>
      <c r="D31" s="6"/>
      <c r="E31" s="6"/>
      <c r="F31" s="6"/>
      <c r="G31" s="12" t="s">
        <v>807</v>
      </c>
      <c r="H31" s="12" t="s">
        <v>808</v>
      </c>
      <c r="I31" s="12" t="s">
        <v>809</v>
      </c>
      <c r="J31" s="12" t="s">
        <v>810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>
      <c r="A32" s="6"/>
      <c r="B32" s="6"/>
      <c r="C32" s="6"/>
      <c r="D32" s="6"/>
      <c r="E32" s="6"/>
      <c r="F32" s="6"/>
      <c r="G32" s="12" t="s">
        <v>811</v>
      </c>
      <c r="H32" s="12" t="s">
        <v>812</v>
      </c>
      <c r="I32" s="12" t="s">
        <v>813</v>
      </c>
      <c r="J32" s="12" t="s">
        <v>814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>
      <c r="A33" s="6"/>
      <c r="B33" s="6"/>
      <c r="C33" s="6"/>
      <c r="D33" s="6"/>
      <c r="E33" s="6"/>
      <c r="F33" s="6"/>
      <c r="G33" s="12" t="s">
        <v>815</v>
      </c>
      <c r="H33" s="12" t="s">
        <v>816</v>
      </c>
      <c r="I33" s="12" t="s">
        <v>817</v>
      </c>
      <c r="J33" s="12" t="s">
        <v>818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customHeight="1" spans="1:29">
      <c r="A36" s="5" t="s">
        <v>819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customHeight="1" spans="1:29">
      <c r="A37" s="7" t="s">
        <v>443</v>
      </c>
      <c r="B37" s="7"/>
      <c r="C37" s="6"/>
      <c r="D37" s="7" t="s">
        <v>380</v>
      </c>
      <c r="E37" s="7"/>
      <c r="F37" s="6"/>
      <c r="G37" s="8" t="s">
        <v>736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>
      <c r="A38" s="7" t="s">
        <v>737</v>
      </c>
      <c r="B38" s="7" t="s">
        <v>738</v>
      </c>
      <c r="C38" s="6"/>
      <c r="D38" s="7" t="s">
        <v>737</v>
      </c>
      <c r="E38" s="7" t="s">
        <v>738</v>
      </c>
      <c r="F38" s="6"/>
      <c r="G38" s="7" t="s">
        <v>131</v>
      </c>
      <c r="H38" s="10" t="s">
        <v>741</v>
      </c>
      <c r="I38" s="10" t="s">
        <v>740</v>
      </c>
      <c r="J38" s="10" t="s">
        <v>739</v>
      </c>
      <c r="K38" s="10" t="s">
        <v>742</v>
      </c>
      <c r="L38" s="10" t="s">
        <v>743</v>
      </c>
      <c r="M38" s="10" t="s">
        <v>746</v>
      </c>
      <c r="N38" s="10" t="s">
        <v>745</v>
      </c>
      <c r="O38" s="10" t="s">
        <v>744</v>
      </c>
      <c r="P38" s="10" t="s">
        <v>749</v>
      </c>
      <c r="Q38" s="10" t="s">
        <v>748</v>
      </c>
      <c r="R38" s="10" t="s">
        <v>747</v>
      </c>
      <c r="S38" s="7" t="s">
        <v>112</v>
      </c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>
      <c r="A39" s="7" t="s">
        <v>287</v>
      </c>
      <c r="B39" s="11">
        <v>0.171</v>
      </c>
      <c r="C39" s="6"/>
      <c r="D39" s="7" t="s">
        <v>287</v>
      </c>
      <c r="E39" s="11">
        <v>0.153</v>
      </c>
      <c r="F39" s="6"/>
      <c r="G39" s="12" t="s">
        <v>750</v>
      </c>
      <c r="H39" s="13">
        <v>1</v>
      </c>
      <c r="I39" s="13">
        <v>0.95</v>
      </c>
      <c r="J39" s="13">
        <v>0.9</v>
      </c>
      <c r="K39" s="13">
        <v>0.87</v>
      </c>
      <c r="L39" s="13">
        <v>0.8</v>
      </c>
      <c r="M39" s="13">
        <v>0.7</v>
      </c>
      <c r="N39" s="13">
        <v>0.5</v>
      </c>
      <c r="O39" s="13">
        <v>0.4</v>
      </c>
      <c r="P39" s="13">
        <v>0.4</v>
      </c>
      <c r="Q39" s="13">
        <v>0.3</v>
      </c>
      <c r="R39" s="13">
        <v>0.2</v>
      </c>
      <c r="S39" s="12" t="s">
        <v>112</v>
      </c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>
      <c r="A40" s="7" t="s">
        <v>280</v>
      </c>
      <c r="B40" s="11">
        <v>0.142</v>
      </c>
      <c r="C40" s="6"/>
      <c r="D40" s="7" t="s">
        <v>280</v>
      </c>
      <c r="E40" s="11">
        <v>0.145</v>
      </c>
      <c r="F40" s="6"/>
      <c r="G40" s="12" t="s">
        <v>278</v>
      </c>
      <c r="H40" s="14" t="s">
        <v>763</v>
      </c>
      <c r="I40" s="12" t="s">
        <v>764</v>
      </c>
      <c r="J40" s="14" t="s">
        <v>767</v>
      </c>
      <c r="K40" s="12" t="s">
        <v>766</v>
      </c>
      <c r="L40" s="12" t="s">
        <v>765</v>
      </c>
      <c r="M40" s="14" t="s">
        <v>768</v>
      </c>
      <c r="N40" s="12" t="s">
        <v>769</v>
      </c>
      <c r="O40" s="12" t="s">
        <v>112</v>
      </c>
      <c r="P40" s="12" t="s">
        <v>112</v>
      </c>
      <c r="Q40" s="12" t="s">
        <v>112</v>
      </c>
      <c r="R40" s="12" t="s">
        <v>112</v>
      </c>
      <c r="S40" s="12" t="s">
        <v>112</v>
      </c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>
      <c r="A41" s="7" t="s">
        <v>131</v>
      </c>
      <c r="B41" s="11">
        <v>0.133</v>
      </c>
      <c r="C41" s="6"/>
      <c r="D41" s="7" t="s">
        <v>278</v>
      </c>
      <c r="E41" s="11">
        <v>0.124</v>
      </c>
      <c r="F41" s="6"/>
      <c r="G41" s="12" t="s">
        <v>750</v>
      </c>
      <c r="H41" s="13">
        <v>1</v>
      </c>
      <c r="I41" s="13">
        <v>0.9</v>
      </c>
      <c r="J41" s="13">
        <v>0.88</v>
      </c>
      <c r="K41" s="13">
        <v>0.85</v>
      </c>
      <c r="L41" s="13">
        <v>0.68</v>
      </c>
      <c r="M41" s="13">
        <v>0.65</v>
      </c>
      <c r="N41" s="13">
        <v>0.4</v>
      </c>
      <c r="O41" s="12" t="s">
        <v>112</v>
      </c>
      <c r="P41" s="12" t="s">
        <v>112</v>
      </c>
      <c r="Q41" s="12" t="s">
        <v>112</v>
      </c>
      <c r="R41" s="12" t="s">
        <v>112</v>
      </c>
      <c r="S41" s="12" t="s">
        <v>112</v>
      </c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>
      <c r="A42" s="7" t="s">
        <v>274</v>
      </c>
      <c r="B42" s="11">
        <v>0.117</v>
      </c>
      <c r="C42" s="6"/>
      <c r="D42" s="7" t="s">
        <v>200</v>
      </c>
      <c r="E42" s="11">
        <v>0.116</v>
      </c>
      <c r="F42" s="6"/>
      <c r="G42" s="12" t="s">
        <v>280</v>
      </c>
      <c r="H42" s="12" t="s">
        <v>753</v>
      </c>
      <c r="I42" s="12" t="s">
        <v>754</v>
      </c>
      <c r="J42" s="12" t="s">
        <v>756</v>
      </c>
      <c r="K42" s="12" t="s">
        <v>751</v>
      </c>
      <c r="L42" s="12" t="s">
        <v>752</v>
      </c>
      <c r="M42" s="12" t="s">
        <v>755</v>
      </c>
      <c r="N42" s="12" t="s">
        <v>758</v>
      </c>
      <c r="O42" s="12" t="s">
        <v>759</v>
      </c>
      <c r="P42" s="12" t="s">
        <v>760</v>
      </c>
      <c r="Q42" s="12" t="s">
        <v>761</v>
      </c>
      <c r="R42" s="12" t="s">
        <v>757</v>
      </c>
      <c r="S42" s="12" t="s">
        <v>762</v>
      </c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>
      <c r="A43" s="7" t="s">
        <v>278</v>
      </c>
      <c r="B43" s="11">
        <v>0.09</v>
      </c>
      <c r="C43" s="6"/>
      <c r="D43" s="7" t="s">
        <v>131</v>
      </c>
      <c r="E43" s="11">
        <v>0.086</v>
      </c>
      <c r="F43" s="6"/>
      <c r="G43" s="12" t="s">
        <v>750</v>
      </c>
      <c r="H43" s="13">
        <v>1</v>
      </c>
      <c r="I43" s="13">
        <v>0.97</v>
      </c>
      <c r="J43" s="13">
        <v>0.96</v>
      </c>
      <c r="K43" s="13">
        <v>0.94</v>
      </c>
      <c r="L43" s="13">
        <v>0.94</v>
      </c>
      <c r="M43" s="13">
        <v>0.92</v>
      </c>
      <c r="N43" s="13">
        <v>0.92</v>
      </c>
      <c r="O43" s="13">
        <v>0.88</v>
      </c>
      <c r="P43" s="13">
        <v>0.88</v>
      </c>
      <c r="Q43" s="13">
        <v>0.82</v>
      </c>
      <c r="R43" s="13">
        <v>0.8</v>
      </c>
      <c r="S43" s="13">
        <v>0.55</v>
      </c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>
      <c r="A44" s="7" t="s">
        <v>200</v>
      </c>
      <c r="B44" s="11">
        <v>0.089</v>
      </c>
      <c r="C44" s="6"/>
      <c r="D44" s="7" t="s">
        <v>295</v>
      </c>
      <c r="E44" s="11">
        <v>0.085</v>
      </c>
      <c r="F44" s="6"/>
      <c r="G44" s="12" t="s">
        <v>770</v>
      </c>
      <c r="H44" s="12" t="s">
        <v>771</v>
      </c>
      <c r="I44" s="12" t="s">
        <v>772</v>
      </c>
      <c r="J44" s="12" t="s">
        <v>773</v>
      </c>
      <c r="K44" s="12" t="s">
        <v>774</v>
      </c>
      <c r="L44" s="12" t="s">
        <v>112</v>
      </c>
      <c r="M44" s="12" t="s">
        <v>112</v>
      </c>
      <c r="N44" s="12" t="s">
        <v>112</v>
      </c>
      <c r="O44" s="12" t="s">
        <v>112</v>
      </c>
      <c r="P44" s="12" t="s">
        <v>112</v>
      </c>
      <c r="Q44" s="12" t="s">
        <v>112</v>
      </c>
      <c r="R44" s="12" t="s">
        <v>112</v>
      </c>
      <c r="S44" s="12" t="s">
        <v>112</v>
      </c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>
      <c r="A45" s="7" t="s">
        <v>289</v>
      </c>
      <c r="B45" s="11">
        <v>0.064</v>
      </c>
      <c r="C45" s="6"/>
      <c r="D45" s="7" t="s">
        <v>289</v>
      </c>
      <c r="E45" s="11">
        <v>0.084</v>
      </c>
      <c r="F45" s="6"/>
      <c r="G45" s="12" t="s">
        <v>750</v>
      </c>
      <c r="H45" s="13">
        <v>1</v>
      </c>
      <c r="I45" s="13">
        <v>0.85</v>
      </c>
      <c r="J45" s="13">
        <v>0.7</v>
      </c>
      <c r="K45" s="13">
        <v>0.5</v>
      </c>
      <c r="L45" s="12" t="s">
        <v>112</v>
      </c>
      <c r="M45" s="12" t="s">
        <v>112</v>
      </c>
      <c r="N45" s="12" t="s">
        <v>112</v>
      </c>
      <c r="O45" s="12" t="s">
        <v>112</v>
      </c>
      <c r="P45" s="12" t="s">
        <v>112</v>
      </c>
      <c r="Q45" s="12" t="s">
        <v>112</v>
      </c>
      <c r="R45" s="12" t="s">
        <v>112</v>
      </c>
      <c r="S45" s="12" t="s">
        <v>112</v>
      </c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>
      <c r="A46" s="7" t="s">
        <v>208</v>
      </c>
      <c r="B46" s="11">
        <v>0.062</v>
      </c>
      <c r="C46" s="6"/>
      <c r="D46" s="7" t="s">
        <v>208</v>
      </c>
      <c r="E46" s="11">
        <v>0.063</v>
      </c>
      <c r="F46" s="6"/>
      <c r="G46" s="12" t="s">
        <v>289</v>
      </c>
      <c r="H46" s="12" t="s">
        <v>771</v>
      </c>
      <c r="I46" s="12" t="s">
        <v>772</v>
      </c>
      <c r="J46" s="12" t="s">
        <v>773</v>
      </c>
      <c r="K46" s="12" t="s">
        <v>774</v>
      </c>
      <c r="L46" s="12" t="s">
        <v>112</v>
      </c>
      <c r="M46" s="12" t="s">
        <v>112</v>
      </c>
      <c r="N46" s="12" t="s">
        <v>112</v>
      </c>
      <c r="O46" s="12" t="s">
        <v>112</v>
      </c>
      <c r="P46" s="12" t="s">
        <v>112</v>
      </c>
      <c r="Q46" s="12" t="s">
        <v>112</v>
      </c>
      <c r="R46" s="12" t="s">
        <v>112</v>
      </c>
      <c r="S46" s="12" t="s">
        <v>112</v>
      </c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>
      <c r="A47" s="7" t="s">
        <v>212</v>
      </c>
      <c r="B47" s="11">
        <v>0.053</v>
      </c>
      <c r="C47" s="6"/>
      <c r="D47" s="7" t="s">
        <v>212</v>
      </c>
      <c r="E47" s="11">
        <v>0.054</v>
      </c>
      <c r="F47" s="6"/>
      <c r="G47" s="12" t="s">
        <v>750</v>
      </c>
      <c r="H47" s="13">
        <v>1</v>
      </c>
      <c r="I47" s="13">
        <v>0.85</v>
      </c>
      <c r="J47" s="13">
        <v>0.7</v>
      </c>
      <c r="K47" s="13">
        <v>0.5</v>
      </c>
      <c r="L47" s="12" t="s">
        <v>112</v>
      </c>
      <c r="M47" s="12" t="s">
        <v>112</v>
      </c>
      <c r="N47" s="12" t="s">
        <v>112</v>
      </c>
      <c r="O47" s="12" t="s">
        <v>112</v>
      </c>
      <c r="P47" s="12" t="s">
        <v>112</v>
      </c>
      <c r="Q47" s="12" t="s">
        <v>112</v>
      </c>
      <c r="R47" s="12" t="s">
        <v>112</v>
      </c>
      <c r="S47" s="12" t="s">
        <v>112</v>
      </c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>
      <c r="A48" s="7" t="s">
        <v>282</v>
      </c>
      <c r="B48" s="11">
        <v>0.034</v>
      </c>
      <c r="C48" s="6"/>
      <c r="D48" s="7" t="s">
        <v>274</v>
      </c>
      <c r="E48" s="11">
        <v>0.034</v>
      </c>
      <c r="F48" s="6"/>
      <c r="G48" s="12" t="s">
        <v>295</v>
      </c>
      <c r="H48" s="12" t="s">
        <v>778</v>
      </c>
      <c r="I48" s="12" t="s">
        <v>779</v>
      </c>
      <c r="J48" s="12" t="s">
        <v>780</v>
      </c>
      <c r="K48" s="12" t="s">
        <v>781</v>
      </c>
      <c r="L48" s="12" t="s">
        <v>112</v>
      </c>
      <c r="M48" s="12" t="s">
        <v>112</v>
      </c>
      <c r="N48" s="12" t="s">
        <v>112</v>
      </c>
      <c r="O48" s="12" t="s">
        <v>112</v>
      </c>
      <c r="P48" s="12" t="s">
        <v>112</v>
      </c>
      <c r="Q48" s="12" t="s">
        <v>112</v>
      </c>
      <c r="R48" s="12" t="s">
        <v>112</v>
      </c>
      <c r="S48" s="12" t="s">
        <v>112</v>
      </c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>
      <c r="A49" s="7" t="s">
        <v>291</v>
      </c>
      <c r="B49" s="11">
        <v>0.023</v>
      </c>
      <c r="C49" s="9"/>
      <c r="D49" s="7" t="s">
        <v>282</v>
      </c>
      <c r="E49" s="11">
        <v>0.034</v>
      </c>
      <c r="F49" s="6"/>
      <c r="G49" s="12" t="s">
        <v>750</v>
      </c>
      <c r="H49" s="13">
        <v>1</v>
      </c>
      <c r="I49" s="13">
        <v>0.8</v>
      </c>
      <c r="J49" s="13">
        <v>0.6</v>
      </c>
      <c r="K49" s="13">
        <v>0.35</v>
      </c>
      <c r="L49" s="12" t="s">
        <v>112</v>
      </c>
      <c r="M49" s="12" t="s">
        <v>112</v>
      </c>
      <c r="N49" s="12" t="s">
        <v>112</v>
      </c>
      <c r="O49" s="12" t="s">
        <v>112</v>
      </c>
      <c r="P49" s="12" t="s">
        <v>112</v>
      </c>
      <c r="Q49" s="12" t="s">
        <v>112</v>
      </c>
      <c r="R49" s="12" t="s">
        <v>112</v>
      </c>
      <c r="S49" s="15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>
      <c r="A50" s="7" t="s">
        <v>292</v>
      </c>
      <c r="B50" s="11">
        <v>0.022</v>
      </c>
      <c r="C50" s="6"/>
      <c r="D50" s="7" t="s">
        <v>291</v>
      </c>
      <c r="E50" s="11">
        <v>0.022</v>
      </c>
      <c r="F50" s="9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>
      <c r="A51" s="6"/>
      <c r="B51" s="6"/>
      <c r="C51" s="6"/>
      <c r="D51" s="6"/>
      <c r="E51" s="6"/>
      <c r="F51" s="6"/>
      <c r="G51" s="7" t="s">
        <v>737</v>
      </c>
      <c r="H51" s="7" t="s">
        <v>783</v>
      </c>
      <c r="I51" s="7" t="s">
        <v>784</v>
      </c>
      <c r="J51" s="7" t="s">
        <v>785</v>
      </c>
      <c r="K51" s="7" t="s">
        <v>786</v>
      </c>
      <c r="L51" s="7" t="s">
        <v>787</v>
      </c>
      <c r="M51" s="7" t="s">
        <v>788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>
      <c r="A52" s="6"/>
      <c r="B52" s="6"/>
      <c r="C52" s="6"/>
      <c r="D52" s="6"/>
      <c r="E52" s="6"/>
      <c r="F52" s="6"/>
      <c r="G52" s="12" t="s">
        <v>200</v>
      </c>
      <c r="H52" s="12" t="s">
        <v>791</v>
      </c>
      <c r="I52" s="12" t="s">
        <v>790</v>
      </c>
      <c r="J52" s="13">
        <v>0.005431</v>
      </c>
      <c r="K52" s="13">
        <v>18.219012</v>
      </c>
      <c r="L52" s="15">
        <v>0</v>
      </c>
      <c r="M52" s="13">
        <v>18.2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>
      <c r="A53" s="6"/>
      <c r="B53" s="6"/>
      <c r="C53" s="6"/>
      <c r="D53" s="6"/>
      <c r="E53" s="6"/>
      <c r="F53" s="6"/>
      <c r="G53" s="12" t="s">
        <v>212</v>
      </c>
      <c r="H53" s="12" t="s">
        <v>791</v>
      </c>
      <c r="I53" s="12" t="s">
        <v>790</v>
      </c>
      <c r="J53" s="13">
        <v>1e-5</v>
      </c>
      <c r="K53" s="13">
        <v>277.30496</v>
      </c>
      <c r="L53" s="15">
        <v>0</v>
      </c>
      <c r="M53" s="13">
        <v>277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>
      <c r="A54" s="6"/>
      <c r="B54" s="6"/>
      <c r="C54" s="6"/>
      <c r="D54" s="6"/>
      <c r="E54" s="6"/>
      <c r="F54" s="6"/>
      <c r="G54" s="12" t="s">
        <v>208</v>
      </c>
      <c r="H54" s="12" t="s">
        <v>791</v>
      </c>
      <c r="I54" s="12" t="s">
        <v>790</v>
      </c>
      <c r="J54" s="13">
        <v>6.7e-5</v>
      </c>
      <c r="K54" s="13">
        <v>82.01135</v>
      </c>
      <c r="L54" s="15">
        <v>0</v>
      </c>
      <c r="M54" s="17" t="s">
        <v>820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>
      <c r="A55" s="6"/>
      <c r="B55" s="6"/>
      <c r="C55" s="6"/>
      <c r="D55" s="6"/>
      <c r="E55" s="6"/>
      <c r="F55" s="6"/>
      <c r="G55" s="12" t="s">
        <v>292</v>
      </c>
      <c r="H55" s="12" t="s">
        <v>789</v>
      </c>
      <c r="I55" s="12" t="s">
        <v>790</v>
      </c>
      <c r="J55" s="13">
        <v>0.169766</v>
      </c>
      <c r="K55" s="13">
        <v>6.969304</v>
      </c>
      <c r="L55" s="13">
        <v>2</v>
      </c>
      <c r="M55" s="13">
        <v>11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>
      <c r="A56" s="6"/>
      <c r="B56" s="6"/>
      <c r="C56" s="6"/>
      <c r="D56" s="6"/>
      <c r="E56" s="6"/>
      <c r="F56" s="6"/>
      <c r="G56" s="12" t="s">
        <v>282</v>
      </c>
      <c r="H56" s="12" t="s">
        <v>789</v>
      </c>
      <c r="I56" s="12" t="s">
        <v>790</v>
      </c>
      <c r="J56" s="13">
        <v>6.753478</v>
      </c>
      <c r="K56" s="13">
        <v>1.238321</v>
      </c>
      <c r="L56" s="13">
        <v>0.1</v>
      </c>
      <c r="M56" s="13">
        <v>2.4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>
      <c r="A57" s="6"/>
      <c r="B57" s="6"/>
      <c r="C57" s="6"/>
      <c r="D57" s="6"/>
      <c r="E57" s="6"/>
      <c r="F57" s="6"/>
      <c r="G57" s="12" t="s">
        <v>291</v>
      </c>
      <c r="H57" s="12" t="s">
        <v>791</v>
      </c>
      <c r="I57" s="12" t="s">
        <v>790</v>
      </c>
      <c r="J57" s="13">
        <v>0.006091</v>
      </c>
      <c r="K57" s="13">
        <v>22.659756</v>
      </c>
      <c r="L57" s="15">
        <v>0</v>
      </c>
      <c r="M57" s="13">
        <v>22.6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>
      <c r="A58" s="6"/>
      <c r="B58" s="6"/>
      <c r="C58" s="6"/>
      <c r="D58" s="6"/>
      <c r="E58" s="6"/>
      <c r="F58" s="6"/>
      <c r="G58" s="12" t="s">
        <v>274</v>
      </c>
      <c r="H58" s="12" t="s">
        <v>791</v>
      </c>
      <c r="I58" s="12" t="s">
        <v>790</v>
      </c>
      <c r="J58" s="13">
        <v>0.000125</v>
      </c>
      <c r="K58" s="13">
        <v>126.645579</v>
      </c>
      <c r="L58" s="15">
        <v>0</v>
      </c>
      <c r="M58" s="13">
        <v>126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48" customHeight="1" spans="1:29">
      <c r="A59" s="6"/>
      <c r="B59" s="6"/>
      <c r="C59" s="6"/>
      <c r="D59" s="6"/>
      <c r="E59" s="6"/>
      <c r="F59" s="6"/>
      <c r="G59" s="14" t="s">
        <v>821</v>
      </c>
      <c r="H59" s="14"/>
      <c r="I59" s="14"/>
      <c r="J59" s="14"/>
      <c r="K59" s="14"/>
      <c r="L59" s="14"/>
      <c r="M59" s="14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>
      <c r="A61" s="6"/>
      <c r="B61" s="6"/>
      <c r="C61" s="6"/>
      <c r="D61" s="6"/>
      <c r="E61" s="6"/>
      <c r="F61" s="6"/>
      <c r="G61" s="7" t="s">
        <v>797</v>
      </c>
      <c r="H61" s="7" t="s">
        <v>798</v>
      </c>
      <c r="I61" s="7" t="s">
        <v>797</v>
      </c>
      <c r="J61" s="7" t="s">
        <v>798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>
      <c r="A62" s="6"/>
      <c r="B62" s="6"/>
      <c r="C62" s="6"/>
      <c r="D62" s="6"/>
      <c r="E62" s="6"/>
      <c r="F62" s="6"/>
      <c r="G62" s="12" t="s">
        <v>799</v>
      </c>
      <c r="H62" s="12" t="s">
        <v>822</v>
      </c>
      <c r="I62" s="12" t="s">
        <v>801</v>
      </c>
      <c r="J62" s="12" t="s">
        <v>823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>
      <c r="A63" s="6"/>
      <c r="B63" s="6"/>
      <c r="C63" s="6"/>
      <c r="D63" s="6"/>
      <c r="E63" s="6"/>
      <c r="F63" s="6"/>
      <c r="G63" s="12" t="s">
        <v>803</v>
      </c>
      <c r="H63" s="12" t="s">
        <v>824</v>
      </c>
      <c r="I63" s="12" t="s">
        <v>805</v>
      </c>
      <c r="J63" s="12" t="s">
        <v>825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>
      <c r="A64" s="6"/>
      <c r="B64" s="6"/>
      <c r="C64" s="6"/>
      <c r="D64" s="6"/>
      <c r="E64" s="6"/>
      <c r="F64" s="6"/>
      <c r="G64" s="12" t="s">
        <v>807</v>
      </c>
      <c r="H64" s="12" t="s">
        <v>826</v>
      </c>
      <c r="I64" s="12" t="s">
        <v>809</v>
      </c>
      <c r="J64" s="12" t="s">
        <v>827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>
      <c r="A65" s="6"/>
      <c r="B65" s="6"/>
      <c r="C65" s="6"/>
      <c r="D65" s="6"/>
      <c r="E65" s="6"/>
      <c r="F65" s="6"/>
      <c r="G65" s="12" t="s">
        <v>811</v>
      </c>
      <c r="H65" s="12" t="s">
        <v>828</v>
      </c>
      <c r="I65" s="12" t="s">
        <v>813</v>
      </c>
      <c r="J65" s="12" t="s">
        <v>829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>
      <c r="A66" s="6"/>
      <c r="B66" s="6"/>
      <c r="C66" s="6"/>
      <c r="D66" s="6"/>
      <c r="E66" s="6"/>
      <c r="F66" s="6"/>
      <c r="G66" s="12" t="s">
        <v>815</v>
      </c>
      <c r="H66" s="12" t="s">
        <v>830</v>
      </c>
      <c r="I66" s="12" t="s">
        <v>817</v>
      </c>
      <c r="J66" s="12" t="s">
        <v>831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customHeight="1" spans="1:29">
      <c r="A68" s="5" t="s">
        <v>516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24" customHeight="1" spans="1:29">
      <c r="A69" s="18" t="s">
        <v>517</v>
      </c>
      <c r="B69" s="18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24" spans="1:29">
      <c r="A70" s="19" t="s">
        <v>737</v>
      </c>
      <c r="B70" s="19" t="s">
        <v>738</v>
      </c>
      <c r="C70" s="6"/>
      <c r="D70" s="6"/>
      <c r="E70" s="6"/>
      <c r="F70" s="6"/>
      <c r="G70" s="7" t="s">
        <v>131</v>
      </c>
      <c r="H70" s="10" t="s">
        <v>832</v>
      </c>
      <c r="I70" s="10" t="s">
        <v>833</v>
      </c>
      <c r="J70" s="10" t="s">
        <v>834</v>
      </c>
      <c r="K70" s="10" t="s">
        <v>835</v>
      </c>
      <c r="L70" s="10" t="s">
        <v>836</v>
      </c>
      <c r="M70" s="10" t="s">
        <v>744</v>
      </c>
      <c r="N70" s="10" t="s">
        <v>745</v>
      </c>
      <c r="O70" s="10" t="s">
        <v>746</v>
      </c>
      <c r="P70" s="10" t="s">
        <v>747</v>
      </c>
      <c r="Q70" s="10" t="s">
        <v>748</v>
      </c>
      <c r="R70" s="10" t="s">
        <v>749</v>
      </c>
      <c r="S70" s="7" t="s">
        <v>837</v>
      </c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>
      <c r="A71" s="19" t="s">
        <v>131</v>
      </c>
      <c r="B71" s="20">
        <v>0.1495</v>
      </c>
      <c r="C71" s="6"/>
      <c r="D71" s="6"/>
      <c r="E71" s="6"/>
      <c r="F71" s="6"/>
      <c r="G71" s="12" t="s">
        <v>750</v>
      </c>
      <c r="H71" s="13">
        <v>0.9</v>
      </c>
      <c r="I71" s="13">
        <v>0.9</v>
      </c>
      <c r="J71" s="13">
        <v>0.85</v>
      </c>
      <c r="K71" s="13">
        <v>1</v>
      </c>
      <c r="L71" s="13">
        <v>0.9</v>
      </c>
      <c r="M71" s="13">
        <v>0.7</v>
      </c>
      <c r="N71" s="13">
        <v>0.75</v>
      </c>
      <c r="O71" s="13">
        <v>0.85</v>
      </c>
      <c r="P71" s="13">
        <v>0.5</v>
      </c>
      <c r="Q71" s="13">
        <v>0.6</v>
      </c>
      <c r="R71" s="13">
        <v>0.7</v>
      </c>
      <c r="S71" s="13">
        <v>0.8</v>
      </c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>
      <c r="A72" s="19" t="s">
        <v>287</v>
      </c>
      <c r="B72" s="20">
        <v>0.1342</v>
      </c>
      <c r="C72" s="6"/>
      <c r="D72" s="6"/>
      <c r="E72" s="6"/>
      <c r="F72" s="6"/>
      <c r="G72" s="12" t="s">
        <v>280</v>
      </c>
      <c r="H72" s="12" t="s">
        <v>751</v>
      </c>
      <c r="I72" s="12" t="s">
        <v>752</v>
      </c>
      <c r="J72" s="12" t="s">
        <v>753</v>
      </c>
      <c r="K72" s="12" t="s">
        <v>754</v>
      </c>
      <c r="L72" s="12" t="s">
        <v>755</v>
      </c>
      <c r="M72" s="12" t="s">
        <v>756</v>
      </c>
      <c r="N72" s="12" t="s">
        <v>757</v>
      </c>
      <c r="O72" s="12" t="s">
        <v>758</v>
      </c>
      <c r="P72" s="12" t="s">
        <v>759</v>
      </c>
      <c r="Q72" s="12" t="s">
        <v>760</v>
      </c>
      <c r="R72" s="12" t="s">
        <v>761</v>
      </c>
      <c r="S72" s="12" t="s">
        <v>762</v>
      </c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>
      <c r="A73" s="19" t="s">
        <v>200</v>
      </c>
      <c r="B73" s="20">
        <v>0.0991</v>
      </c>
      <c r="C73" s="6"/>
      <c r="D73" s="6"/>
      <c r="E73" s="6"/>
      <c r="F73" s="6"/>
      <c r="G73" s="12" t="s">
        <v>750</v>
      </c>
      <c r="H73" s="13">
        <v>1</v>
      </c>
      <c r="I73" s="13">
        <v>1</v>
      </c>
      <c r="J73" s="13">
        <v>0.8</v>
      </c>
      <c r="K73" s="13">
        <v>0.85</v>
      </c>
      <c r="L73" s="13">
        <v>0.65</v>
      </c>
      <c r="M73" s="13">
        <v>0.9</v>
      </c>
      <c r="N73" s="13">
        <v>0.65</v>
      </c>
      <c r="O73" s="13">
        <v>0.65</v>
      </c>
      <c r="P73" s="13">
        <v>0.6</v>
      </c>
      <c r="Q73" s="13">
        <v>0.7</v>
      </c>
      <c r="R73" s="13">
        <v>0.5</v>
      </c>
      <c r="S73" s="13">
        <v>0.4</v>
      </c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>
      <c r="A74" s="19" t="s">
        <v>280</v>
      </c>
      <c r="B74" s="20">
        <v>0.0876</v>
      </c>
      <c r="C74" s="6"/>
      <c r="D74" s="6"/>
      <c r="E74" s="6"/>
      <c r="F74" s="6"/>
      <c r="G74" s="12" t="s">
        <v>278</v>
      </c>
      <c r="H74" s="14" t="s">
        <v>763</v>
      </c>
      <c r="I74" s="12" t="s">
        <v>764</v>
      </c>
      <c r="J74" s="12" t="s">
        <v>765</v>
      </c>
      <c r="K74" s="12" t="s">
        <v>766</v>
      </c>
      <c r="L74" s="14" t="s">
        <v>767</v>
      </c>
      <c r="M74" s="12" t="s">
        <v>768</v>
      </c>
      <c r="N74" s="12" t="s">
        <v>769</v>
      </c>
      <c r="O74" s="12" t="s">
        <v>112</v>
      </c>
      <c r="P74" s="12" t="s">
        <v>112</v>
      </c>
      <c r="Q74" s="12" t="s">
        <v>112</v>
      </c>
      <c r="R74" s="12" t="s">
        <v>112</v>
      </c>
      <c r="S74" s="12" t="s">
        <v>112</v>
      </c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>
      <c r="A75" s="19" t="s">
        <v>129</v>
      </c>
      <c r="B75" s="20">
        <v>0.0789</v>
      </c>
      <c r="C75" s="6"/>
      <c r="D75" s="6"/>
      <c r="E75" s="6"/>
      <c r="F75" s="6"/>
      <c r="G75" s="12" t="s">
        <v>750</v>
      </c>
      <c r="H75" s="13">
        <v>1</v>
      </c>
      <c r="I75" s="13">
        <v>0.9</v>
      </c>
      <c r="J75" s="13">
        <v>0.6</v>
      </c>
      <c r="K75" s="13">
        <v>0.65</v>
      </c>
      <c r="L75" s="13">
        <v>0.7</v>
      </c>
      <c r="M75" s="13">
        <v>0.5</v>
      </c>
      <c r="N75" s="13">
        <v>0.4</v>
      </c>
      <c r="O75" s="12" t="s">
        <v>112</v>
      </c>
      <c r="P75" s="12" t="s">
        <v>112</v>
      </c>
      <c r="Q75" s="12" t="s">
        <v>112</v>
      </c>
      <c r="R75" s="12" t="s">
        <v>112</v>
      </c>
      <c r="S75" s="12" t="s">
        <v>112</v>
      </c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>
      <c r="A76" s="19" t="s">
        <v>278</v>
      </c>
      <c r="B76" s="20">
        <v>0.0769</v>
      </c>
      <c r="C76" s="6"/>
      <c r="D76" s="6"/>
      <c r="E76" s="6"/>
      <c r="F76" s="6"/>
      <c r="G76" s="12" t="s">
        <v>770</v>
      </c>
      <c r="H76" s="12" t="s">
        <v>771</v>
      </c>
      <c r="I76" s="12" t="s">
        <v>772</v>
      </c>
      <c r="J76" s="12" t="s">
        <v>773</v>
      </c>
      <c r="K76" s="12" t="s">
        <v>774</v>
      </c>
      <c r="L76" s="12" t="s">
        <v>112</v>
      </c>
      <c r="M76" s="12" t="s">
        <v>112</v>
      </c>
      <c r="N76" s="12" t="s">
        <v>112</v>
      </c>
      <c r="O76" s="12" t="s">
        <v>112</v>
      </c>
      <c r="P76" s="12" t="s">
        <v>112</v>
      </c>
      <c r="Q76" s="12" t="s">
        <v>112</v>
      </c>
      <c r="R76" s="12" t="s">
        <v>112</v>
      </c>
      <c r="S76" s="12" t="s">
        <v>112</v>
      </c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>
      <c r="A77" s="19" t="s">
        <v>274</v>
      </c>
      <c r="B77" s="20">
        <v>0.0676</v>
      </c>
      <c r="C77" s="6"/>
      <c r="D77" s="6"/>
      <c r="E77" s="6"/>
      <c r="F77" s="6"/>
      <c r="G77" s="12" t="s">
        <v>750</v>
      </c>
      <c r="H77" s="13">
        <v>1</v>
      </c>
      <c r="I77" s="13">
        <v>0.7</v>
      </c>
      <c r="J77" s="13">
        <v>0.5</v>
      </c>
      <c r="K77" s="13">
        <v>0.3</v>
      </c>
      <c r="L77" s="12" t="s">
        <v>112</v>
      </c>
      <c r="M77" s="12" t="s">
        <v>112</v>
      </c>
      <c r="N77" s="12" t="s">
        <v>112</v>
      </c>
      <c r="O77" s="12" t="s">
        <v>112</v>
      </c>
      <c r="P77" s="12" t="s">
        <v>112</v>
      </c>
      <c r="Q77" s="12" t="s">
        <v>112</v>
      </c>
      <c r="R77" s="12" t="s">
        <v>112</v>
      </c>
      <c r="S77" s="12" t="s">
        <v>112</v>
      </c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>
      <c r="A78" s="19" t="s">
        <v>208</v>
      </c>
      <c r="B78" s="20">
        <v>0.0644</v>
      </c>
      <c r="C78" s="6"/>
      <c r="D78" s="6"/>
      <c r="E78" s="6"/>
      <c r="F78" s="6"/>
      <c r="G78" s="12" t="s">
        <v>289</v>
      </c>
      <c r="H78" s="12" t="s">
        <v>771</v>
      </c>
      <c r="I78" s="12" t="s">
        <v>772</v>
      </c>
      <c r="J78" s="12" t="s">
        <v>773</v>
      </c>
      <c r="K78" s="12" t="s">
        <v>774</v>
      </c>
      <c r="L78" s="12" t="s">
        <v>112</v>
      </c>
      <c r="M78" s="12" t="s">
        <v>112</v>
      </c>
      <c r="N78" s="12" t="s">
        <v>112</v>
      </c>
      <c r="O78" s="12" t="s">
        <v>112</v>
      </c>
      <c r="P78" s="12" t="s">
        <v>112</v>
      </c>
      <c r="Q78" s="12" t="s">
        <v>112</v>
      </c>
      <c r="R78" s="12" t="s">
        <v>112</v>
      </c>
      <c r="S78" s="12" t="s">
        <v>112</v>
      </c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>
      <c r="A79" s="19" t="s">
        <v>212</v>
      </c>
      <c r="B79" s="20">
        <v>0.0566</v>
      </c>
      <c r="C79" s="6"/>
      <c r="D79" s="6"/>
      <c r="E79" s="6"/>
      <c r="F79" s="6"/>
      <c r="G79" s="12" t="s">
        <v>750</v>
      </c>
      <c r="H79" s="13">
        <v>1</v>
      </c>
      <c r="I79" s="13">
        <v>0.7</v>
      </c>
      <c r="J79" s="13">
        <v>0.5</v>
      </c>
      <c r="K79" s="13">
        <v>0.3</v>
      </c>
      <c r="L79" s="12" t="s">
        <v>112</v>
      </c>
      <c r="M79" s="12" t="s">
        <v>112</v>
      </c>
      <c r="N79" s="12" t="s">
        <v>112</v>
      </c>
      <c r="O79" s="12" t="s">
        <v>112</v>
      </c>
      <c r="P79" s="12" t="s">
        <v>112</v>
      </c>
      <c r="Q79" s="12" t="s">
        <v>112</v>
      </c>
      <c r="R79" s="12" t="s">
        <v>112</v>
      </c>
      <c r="S79" s="12" t="s">
        <v>112</v>
      </c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>
      <c r="A80" s="19" t="s">
        <v>289</v>
      </c>
      <c r="B80" s="20">
        <v>0.0499</v>
      </c>
      <c r="C80" s="6"/>
      <c r="D80" s="6"/>
      <c r="E80" s="6"/>
      <c r="F80" s="6"/>
      <c r="G80" s="12" t="s">
        <v>297</v>
      </c>
      <c r="H80" s="12" t="s">
        <v>775</v>
      </c>
      <c r="I80" s="12" t="s">
        <v>776</v>
      </c>
      <c r="J80" s="12" t="s">
        <v>777</v>
      </c>
      <c r="K80" s="12" t="s">
        <v>112</v>
      </c>
      <c r="L80" s="12" t="s">
        <v>112</v>
      </c>
      <c r="M80" s="12" t="s">
        <v>112</v>
      </c>
      <c r="N80" s="12" t="s">
        <v>112</v>
      </c>
      <c r="O80" s="12" t="s">
        <v>112</v>
      </c>
      <c r="P80" s="12" t="s">
        <v>112</v>
      </c>
      <c r="Q80" s="12" t="s">
        <v>112</v>
      </c>
      <c r="R80" s="12" t="s">
        <v>112</v>
      </c>
      <c r="S80" s="12" t="s">
        <v>112</v>
      </c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>
      <c r="A81" s="19" t="s">
        <v>282</v>
      </c>
      <c r="B81" s="20">
        <v>0.0488</v>
      </c>
      <c r="C81" s="6"/>
      <c r="D81" s="6"/>
      <c r="E81" s="6"/>
      <c r="F81" s="6"/>
      <c r="G81" s="12" t="s">
        <v>750</v>
      </c>
      <c r="H81" s="13">
        <v>1</v>
      </c>
      <c r="I81" s="13">
        <v>0.7</v>
      </c>
      <c r="J81" s="13">
        <v>0.4</v>
      </c>
      <c r="K81" s="12" t="s">
        <v>112</v>
      </c>
      <c r="L81" s="12" t="s">
        <v>112</v>
      </c>
      <c r="M81" s="12" t="s">
        <v>112</v>
      </c>
      <c r="N81" s="12" t="s">
        <v>112</v>
      </c>
      <c r="O81" s="12" t="s">
        <v>112</v>
      </c>
      <c r="P81" s="12" t="s">
        <v>112</v>
      </c>
      <c r="Q81" s="12" t="s">
        <v>112</v>
      </c>
      <c r="R81" s="12" t="s">
        <v>112</v>
      </c>
      <c r="S81" s="15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>
      <c r="A82" s="19" t="s">
        <v>292</v>
      </c>
      <c r="B82" s="20">
        <v>0.0439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>
      <c r="A83" s="19" t="s">
        <v>297</v>
      </c>
      <c r="B83" s="20">
        <v>0.0426</v>
      </c>
      <c r="C83" s="6"/>
      <c r="D83" s="6"/>
      <c r="E83" s="6"/>
      <c r="F83" s="6"/>
      <c r="G83" s="7" t="s">
        <v>737</v>
      </c>
      <c r="H83" s="7" t="s">
        <v>783</v>
      </c>
      <c r="I83" s="7" t="s">
        <v>784</v>
      </c>
      <c r="J83" s="7" t="s">
        <v>785</v>
      </c>
      <c r="K83" s="7" t="s">
        <v>786</v>
      </c>
      <c r="L83" s="7" t="s">
        <v>787</v>
      </c>
      <c r="M83" s="7" t="s">
        <v>788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>
      <c r="A84" s="6"/>
      <c r="B84" s="6"/>
      <c r="C84" s="6"/>
      <c r="D84" s="6"/>
      <c r="E84" s="6"/>
      <c r="F84" s="6"/>
      <c r="G84" s="12" t="s">
        <v>292</v>
      </c>
      <c r="H84" s="12" t="s">
        <v>789</v>
      </c>
      <c r="I84" s="12" t="s">
        <v>790</v>
      </c>
      <c r="J84" s="13">
        <v>0.225097</v>
      </c>
      <c r="K84" s="13">
        <v>6.685037</v>
      </c>
      <c r="L84" s="13">
        <v>0.4</v>
      </c>
      <c r="M84" s="17" t="s">
        <v>838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>
      <c r="A85" s="6"/>
      <c r="B85" s="6"/>
      <c r="C85" s="6"/>
      <c r="D85" s="6"/>
      <c r="E85" s="6"/>
      <c r="F85" s="6"/>
      <c r="G85" s="12" t="s">
        <v>200</v>
      </c>
      <c r="H85" s="12" t="s">
        <v>791</v>
      </c>
      <c r="I85" s="12" t="s">
        <v>790</v>
      </c>
      <c r="J85" s="13">
        <v>0.006107</v>
      </c>
      <c r="K85" s="13">
        <v>27.680348</v>
      </c>
      <c r="L85" s="15">
        <v>0</v>
      </c>
      <c r="M85" s="13">
        <v>27.6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>
      <c r="A86" s="6"/>
      <c r="B86" s="6"/>
      <c r="C86" s="6"/>
      <c r="D86" s="6"/>
      <c r="E86" s="6"/>
      <c r="F86" s="6"/>
      <c r="G86" s="12" t="s">
        <v>212</v>
      </c>
      <c r="H86" s="12" t="s">
        <v>791</v>
      </c>
      <c r="I86" s="12" t="s">
        <v>790</v>
      </c>
      <c r="J86" s="13">
        <v>2.6e-5</v>
      </c>
      <c r="K86" s="13">
        <v>293.758384</v>
      </c>
      <c r="L86" s="15">
        <v>0</v>
      </c>
      <c r="M86" s="13">
        <v>293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>
      <c r="A87" s="6"/>
      <c r="B87" s="6"/>
      <c r="C87" s="6"/>
      <c r="D87" s="6"/>
      <c r="E87" s="6"/>
      <c r="F87" s="6"/>
      <c r="G87" s="12" t="s">
        <v>208</v>
      </c>
      <c r="H87" s="12" t="s">
        <v>791</v>
      </c>
      <c r="I87" s="12" t="s">
        <v>790</v>
      </c>
      <c r="J87" s="13">
        <v>0.001821</v>
      </c>
      <c r="K87" s="13">
        <v>38.076968</v>
      </c>
      <c r="L87" s="15">
        <v>0</v>
      </c>
      <c r="M87" s="13">
        <v>38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>
      <c r="A88" s="6"/>
      <c r="B88" s="6"/>
      <c r="C88" s="6"/>
      <c r="D88" s="6"/>
      <c r="E88" s="6"/>
      <c r="F88" s="6"/>
      <c r="G88" s="12" t="s">
        <v>282</v>
      </c>
      <c r="H88" s="12" t="s">
        <v>789</v>
      </c>
      <c r="I88" s="12" t="s">
        <v>790</v>
      </c>
      <c r="J88" s="13">
        <v>13.854674</v>
      </c>
      <c r="K88" s="13">
        <v>1.250789</v>
      </c>
      <c r="L88" s="13">
        <v>0.44</v>
      </c>
      <c r="M88" s="13">
        <v>2.05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>
      <c r="A89" s="6"/>
      <c r="B89" s="6"/>
      <c r="C89" s="6"/>
      <c r="D89" s="6"/>
      <c r="E89" s="6"/>
      <c r="F89" s="6"/>
      <c r="G89" s="12" t="s">
        <v>274</v>
      </c>
      <c r="H89" s="12" t="s">
        <v>791</v>
      </c>
      <c r="I89" s="12" t="s">
        <v>790</v>
      </c>
      <c r="J89" s="13">
        <v>0.000232</v>
      </c>
      <c r="K89" s="13">
        <v>131.349274</v>
      </c>
      <c r="L89" s="15">
        <v>0</v>
      </c>
      <c r="M89" s="13">
        <v>131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>
      <c r="A90" s="6"/>
      <c r="B90" s="6"/>
      <c r="C90" s="6"/>
      <c r="D90" s="6"/>
      <c r="E90" s="6"/>
      <c r="F90" s="6"/>
      <c r="G90" s="12" t="s">
        <v>129</v>
      </c>
      <c r="H90" s="12" t="s">
        <v>839</v>
      </c>
      <c r="I90" s="12" t="s">
        <v>790</v>
      </c>
      <c r="J90" s="13">
        <v>1e-6</v>
      </c>
      <c r="K90" s="13">
        <v>649.407006</v>
      </c>
      <c r="L90" s="13">
        <v>649.5</v>
      </c>
      <c r="M90" s="13">
        <v>3649.4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48" customHeight="1" spans="1:29">
      <c r="A91" s="6"/>
      <c r="B91" s="6"/>
      <c r="C91" s="6"/>
      <c r="D91" s="6"/>
      <c r="E91" s="6"/>
      <c r="F91" s="6"/>
      <c r="G91" s="14" t="s">
        <v>840</v>
      </c>
      <c r="H91" s="14"/>
      <c r="I91" s="14"/>
      <c r="J91" s="14"/>
      <c r="K91" s="14"/>
      <c r="L91" s="14"/>
      <c r="M91" s="14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>
      <c r="A93" s="6"/>
      <c r="B93" s="6"/>
      <c r="C93" s="6"/>
      <c r="D93" s="6"/>
      <c r="E93" s="6"/>
      <c r="F93" s="6"/>
      <c r="G93" s="7" t="s">
        <v>797</v>
      </c>
      <c r="H93" s="7" t="s">
        <v>798</v>
      </c>
      <c r="I93" s="7" t="s">
        <v>797</v>
      </c>
      <c r="J93" s="7" t="s">
        <v>798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>
      <c r="A94" s="6"/>
      <c r="B94" s="6"/>
      <c r="C94" s="6"/>
      <c r="D94" s="6"/>
      <c r="E94" s="6"/>
      <c r="F94" s="6"/>
      <c r="G94" s="12" t="s">
        <v>799</v>
      </c>
      <c r="H94" s="12" t="s">
        <v>841</v>
      </c>
      <c r="I94" s="12" t="s">
        <v>801</v>
      </c>
      <c r="J94" s="12" t="s">
        <v>842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>
      <c r="A95" s="6"/>
      <c r="B95" s="6"/>
      <c r="C95" s="6"/>
      <c r="D95" s="6"/>
      <c r="E95" s="6"/>
      <c r="F95" s="6"/>
      <c r="G95" s="12" t="s">
        <v>803</v>
      </c>
      <c r="H95" s="12" t="s">
        <v>843</v>
      </c>
      <c r="I95" s="12" t="s">
        <v>805</v>
      </c>
      <c r="J95" s="12" t="s">
        <v>844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>
      <c r="A96" s="6"/>
      <c r="B96" s="6"/>
      <c r="C96" s="6"/>
      <c r="D96" s="6"/>
      <c r="E96" s="6"/>
      <c r="F96" s="6"/>
      <c r="G96" s="12" t="s">
        <v>807</v>
      </c>
      <c r="H96" s="12" t="s">
        <v>845</v>
      </c>
      <c r="I96" s="12" t="s">
        <v>809</v>
      </c>
      <c r="J96" s="12" t="s">
        <v>846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>
      <c r="A97" s="6"/>
      <c r="B97" s="6"/>
      <c r="C97" s="6"/>
      <c r="D97" s="6"/>
      <c r="E97" s="6"/>
      <c r="F97" s="6"/>
      <c r="G97" s="12" t="s">
        <v>811</v>
      </c>
      <c r="H97" s="12" t="s">
        <v>847</v>
      </c>
      <c r="I97" s="12" t="s">
        <v>813</v>
      </c>
      <c r="J97" s="12" t="s">
        <v>848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>
      <c r="A98" s="6"/>
      <c r="B98" s="6"/>
      <c r="C98" s="6"/>
      <c r="D98" s="6"/>
      <c r="E98" s="6"/>
      <c r="F98" s="6"/>
      <c r="G98" s="12" t="s">
        <v>815</v>
      </c>
      <c r="H98" s="12" t="s">
        <v>849</v>
      </c>
      <c r="I98" s="12" t="s">
        <v>817</v>
      </c>
      <c r="J98" s="12" t="s">
        <v>850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</sheetData>
  <mergeCells count="11">
    <mergeCell ref="A1:S1"/>
    <mergeCell ref="A2:B2"/>
    <mergeCell ref="D2:E2"/>
    <mergeCell ref="G26:M26"/>
    <mergeCell ref="A36:S36"/>
    <mergeCell ref="A37:B37"/>
    <mergeCell ref="D37:E37"/>
    <mergeCell ref="G59:M59"/>
    <mergeCell ref="A68:S68"/>
    <mergeCell ref="A69:B69"/>
    <mergeCell ref="G91:M9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C4" sqref="C4"/>
    </sheetView>
  </sheetViews>
  <sheetFormatPr defaultColWidth="9" defaultRowHeight="13.5" outlineLevelRow="3"/>
  <cols>
    <col min="2" max="2" width="41.5" customWidth="1"/>
    <col min="3" max="3" width="42.625" style="1" customWidth="1"/>
    <col min="4" max="4" width="11.375"/>
    <col min="8" max="8" width="57.125" customWidth="1"/>
  </cols>
  <sheetData>
    <row r="1" customHeight="1" spans="1:12">
      <c r="A1" s="2" t="s">
        <v>0</v>
      </c>
      <c r="B1" s="2" t="s">
        <v>851</v>
      </c>
      <c r="C1" s="3" t="s">
        <v>852</v>
      </c>
      <c r="D1" s="2" t="s">
        <v>27</v>
      </c>
      <c r="H1" t="s">
        <v>853</v>
      </c>
      <c r="I1" t="s">
        <v>854</v>
      </c>
      <c r="J1" t="s">
        <v>855</v>
      </c>
      <c r="K1" t="s">
        <v>856</v>
      </c>
      <c r="L1" t="s">
        <v>857</v>
      </c>
    </row>
    <row r="2" ht="67.5" spans="1:12">
      <c r="A2" s="2">
        <v>1</v>
      </c>
      <c r="B2" s="2" t="s">
        <v>858</v>
      </c>
      <c r="C2" s="3" t="s">
        <v>859</v>
      </c>
      <c r="D2" s="2"/>
      <c r="H2" s="4" t="s">
        <v>860</v>
      </c>
      <c r="I2" t="str">
        <f>TRIM(MID(SUBSTITUTE(MID(H2,FIND("""cl"":",H2)+5,20),"""",""),1,FIND(",",SUBSTITUTE(MID(H2,FIND("""cl"":",H2)+5,20),"""",""))-1))</f>
        <v>500</v>
      </c>
      <c r="J2" t="str">
        <f>TRIM(MID(SUBSTITUTE(MID(H2,FIND("""zwlx"":",H2)+7,20),"""",""),1,FIND(",",SUBSTITUTE(MID(H2,FIND("""zwlx"":",H2)+7,20),"""",""))-1))</f>
        <v>02</v>
      </c>
      <c r="K2" t="str">
        <f>TRIM(MID(SUBSTITUTE(MID(H2,FIND("""cl"":",H2,FIND("},{",H2))+5,20),"""",""),1,FIND(",",SUBSTITUTE(MID(H2,FIND("""cl"":",H2,FIND("},{",H2))+5,20),"""",""))-1))</f>
        <v>3500</v>
      </c>
      <c r="L2" t="str">
        <f>TRIM(MID(SUBSTITUTE(MID(H2,FIND("""zwlx"":",H2,FIND("},{",H2))+7,20),"""",""),1,FIND(",",SUBSTITUTE(MID(H2,FIND("""zwlx"":",H2,FIND("},{",H2))+7,20),"""",""))-1))</f>
        <v>22</v>
      </c>
    </row>
    <row r="3" ht="74.7" spans="1:12">
      <c r="A3" s="2">
        <v>2</v>
      </c>
      <c r="B3" s="2" t="s">
        <v>861</v>
      </c>
      <c r="C3" s="3" t="s">
        <v>862</v>
      </c>
      <c r="D3" s="2" t="str">
        <f>_xlfn.DISPIMG("ID_B07EFA6B7C8446E0B83C0169A3CAD26E",1)</f>
        <v>=DISPIMG("ID_B07EFA6B7C8446E0B83C0169A3CAD26E",1)</v>
      </c>
    </row>
    <row r="4" ht="27" spans="1:12">
      <c r="A4" s="2">
        <v>3</v>
      </c>
      <c r="B4" s="2" t="s">
        <v>863</v>
      </c>
      <c r="C4" s="3" t="s">
        <v>864</v>
      </c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基础要求</vt:lpstr>
      <vt:lpstr>成果目录结构</vt:lpstr>
      <vt:lpstr>数据库结构</vt:lpstr>
      <vt:lpstr>县所属二级农业区</vt:lpstr>
      <vt:lpstr>平差面积</vt:lpstr>
      <vt:lpstr>评价指标体系</vt:lpstr>
      <vt:lpstr>问题说明清单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kiwili</dc:creator>
  <cp:lastModifiedBy>李晶晶</cp:lastModifiedBy>
  <dcterms:created xsi:type="dcterms:W3CDTF">2026-01-14T02:26:34Z</dcterms:created>
  <dcterms:modified xsi:type="dcterms:W3CDTF">2026-01-14T09:21:19Z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EE3610FF15F44B16A22AD292DBA944C9_11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